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kawin/Desktop/Claude/Mommunjai/docs/"/>
    </mc:Choice>
  </mc:AlternateContent>
  <xr:revisionPtr revIDLastSave="0" documentId="13_ncr:1_{F664BA86-E4EB-1D4A-BA22-AE91626E028C}" xr6:coauthVersionLast="47" xr6:coauthVersionMax="47" xr10:uidLastSave="{00000000-0000-0000-0000-000000000000}"/>
  <bookViews>
    <workbookView xWindow="0" yWindow="600" windowWidth="38400" windowHeight="21000" activeTab="2" xr2:uid="{00000000-000D-0000-FFFF-FFFF00000000}"/>
  </bookViews>
  <sheets>
    <sheet name="0_อ่านก่อน" sheetId="1" r:id="rId1"/>
    <sheet name="1_สินค้าทั้งหมด" sheetId="2" r:id="rId2"/>
    <sheet name="Sheet1" sheetId="8" r:id="rId3"/>
    <sheet name="2_เงื่อนไขการแนะนำ" sheetId="3" r:id="rId4"/>
    <sheet name="3_Safety Matrix" sheetId="4" r:id="rId5"/>
    <sheet name="4_Protocol 90 วัน" sheetId="5" r:id="rId6"/>
    <sheet name="5_สูตรคำนวณ" sheetId="6" r:id="rId7"/>
    <sheet name="6_คำถามค้าง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3" i="1"/>
  <c r="B22" i="1"/>
  <c r="B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Mommunjai</author>
  </authors>
  <commentList>
    <comment ref="E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ราคาดึงจาก docs/product-catalog.md ซึ่งถอดจากเว็บไซต์ — อาจไม่ตรงราคาปัจจุบัน ขอให้ตรวจทุกบรรทัด</t>
        </r>
      </text>
    </comment>
  </commentList>
</comments>
</file>

<file path=xl/sharedStrings.xml><?xml version="1.0" encoding="utf-8"?>
<sst xmlns="http://schemas.openxmlformats.org/spreadsheetml/2006/main" count="666" uniqueCount="456">
  <si>
    <t>Mommunjai — ตารางยืนยันข้อมูลทั้งหมด (Mapping &amp; Protocol)</t>
  </si>
  <si>
    <t>ถอดจากโค้ดที่ใช้งานจริง ณ 2026-07-27 · สำหรับทีม Baby &amp; Mom (ครูก้อย) ตรวจและยืนยัน</t>
  </si>
  <si>
    <t>ชีต</t>
  </si>
  <si>
    <t>อธิบาย</t>
  </si>
  <si>
    <t>1_สินค้าทั้งหมด</t>
  </si>
  <si>
    <t>ทุกตัวที่แอปแนะนำได้ พร้อมวิธีรับประทาน/ราคา/ข้อควรระวังที่ผู้ใช้เห็นจริง — ตรวจว่าตรงกับที่แบรนด์ต้องการสื่อไหม</t>
  </si>
  <si>
    <t>2_เงื่อนไขการแนะนำ</t>
  </si>
  <si>
    <t>โปรไฟล์ผู้ใช้แบบไหน → ระบบแนะนำอะไรบ้าง (ตรรกะจริงในโค้ด)</t>
  </si>
  <si>
    <t>3_Safety Matrix</t>
  </si>
  <si>
    <t>กฎ "หยุดเมื่อไหร่" ที่ระบบบังคับใช้อัตโนมัติ — จุดที่เสี่ยงที่สุด ควรให้เภสัชกรตรวจ</t>
  </si>
  <si>
    <t>4_Protocol 90 วัน</t>
  </si>
  <si>
    <t>แผน 90 วันที่ผู้ใช้ได้รับ แยกตามโปรไฟล์</t>
  </si>
  <si>
    <t>5_สูตรคำนวณ</t>
  </si>
  <si>
    <t>ที่มาของทุกตัวเลข: นับวันไข่ตก · โปรตีน · สารอาหาร · การนอน · คะแนนความพร้อม</t>
  </si>
  <si>
    <t>6_คำถามค้าง</t>
  </si>
  <si>
    <t>สิ่งที่ยังต้องรอคำตอบจากทีม — ระบบยังทำงานได้ แต่จะสมบูรณ์เมื่อได้คำตอบ</t>
  </si>
  <si>
    <t>วิธียืนยัน</t>
  </si>
  <si>
    <t>สัญลักษณ์</t>
  </si>
  <si>
    <t>ความหมาย</t>
  </si>
  <si>
    <t>ช่องพื้นเหลือง</t>
  </si>
  <si>
    <t>ช่องที่ขอให้ทีมกรอก (ยืนยัน / แก้ไข / หมายเหตุ) — ช่องอื่นเป็นข้อมูลปัจจุบันของระบบ</t>
  </si>
  <si>
    <t>คอลัมน์ "ทีมยืนยัน"</t>
  </si>
  <si>
    <t>พิมพ์ "ถูก" ถ้าใช้ได้เลย · พิมพ์ข้อความที่ถูกต้องถ้าต้องแก้</t>
  </si>
  <si>
    <t>สถานะ ⏳ รอยืนยัน</t>
  </si>
  <si>
    <t>ระบบยังไม่มีข้อมูลนี้ ต้องได้จากทีมก่อนถึงจะแสดงให้ลูกค้าเห็น</t>
  </si>
  <si>
    <t>สถานะ 🚫 ห้ามใช้</t>
  </si>
  <si>
    <t>ข้อความที่ผิดกฎโฆษณาอาหาร — ระบบบล็อกไว้ ต้องมีเลข ฆอ. รองรับจึงจะปลดได้</t>
  </si>
  <si>
    <t>สรุปสถานะ (คำนวณอัตโนมัติ)</t>
  </si>
  <si>
    <t>จำนวนสินค้าทั้งหมดในระบบ</t>
  </si>
  <si>
    <t>ยืนยันข้อมูลครบแล้ว</t>
  </si>
  <si>
    <t>ยังรอข้อมูลจากทีม</t>
  </si>
  <si>
    <t>ถูกบล็อกด้วยเหตุผลทางกฎหมาย (รอเลข ฆอ.)</t>
  </si>
  <si>
    <t>คำถามที่ยังไม่ได้ตอบ</t>
  </si>
  <si>
    <t>⚠️ ข้อสำคัญที่ต้องรู้ก่อนอ่าน</t>
  </si>
  <si>
    <t>หัวข้อ</t>
  </si>
  <si>
    <t>สิ่งที่ต้องรู้</t>
  </si>
  <si>
    <t>คะแนนความพร้อม 0–100</t>
  </si>
  <si>
    <t>เกณฑ์ให้คะแนนเป็นตัวเลขที่ทีมพัฒนากำหนดเองเพื่อให้ระบบทำงานได้ก่อน ยังไม่ผ่านการตรวจจากเภสัชกรหรือแพทย์ — ดูชีต 5 และขอให้ผู้เชี่ยวชาญของแบรนด์ตรวจก่อนใช้กับลูกค้าจริง</t>
  </si>
  <si>
    <t>ข้อความสรรพคุณ</t>
  </si>
  <si>
    <t>ระบบเลี่ยงคำเคลมรักษา/ป้องกันโรคทุกกรณี และมีการทดสอบอัตโนมัติบล็อกคำต้องห้ามไว้ ถ้าแบรนด์มีเลข ฆอ. ที่อนุมัติข้อความใด ส่งมาได้ จะใส่กลับพร้อมอ้างอิง</t>
  </si>
  <si>
    <t>ราคา</t>
  </si>
  <si>
    <t>ดึงจากเอกสารราคาที่ได้รับ อาจไม่ตรงกับราคาปัจจุบัน — ขอให้ตรวจทุกบรรทัด</t>
  </si>
  <si>
    <t>สินค้าทั้งหมดที่แอปแนะนำได้</t>
  </si>
  <si>
    <t>#</t>
  </si>
  <si>
    <t>รหัส</t>
  </si>
  <si>
    <t>ชื่อสินค้า</t>
  </si>
  <si>
    <t>กลุ่มในแอป</t>
  </si>
  <si>
    <t>ราคา (฿)</t>
  </si>
  <si>
    <t>วิธีรับประทานที่แอปแสดง</t>
  </si>
  <si>
    <t>ส่วนประกอบที่แอปแสดง</t>
  </si>
  <si>
    <t>คำอธิบายที่แอปแสดง</t>
  </si>
  <si>
    <t>ข้อควรระวังที่แอปแสดง</t>
  </si>
  <si>
    <t>❌ ต้องหยุดเมื่อ</t>
  </si>
  <si>
    <t>ที่มาข้อมูล</t>
  </si>
  <si>
    <t>สถานะ</t>
  </si>
  <si>
    <t>✍️ ทีมยืนยัน (ถูก / แก้เป็น...)</t>
  </si>
  <si>
    <t>✍️ หมายเหตุจากทีม</t>
  </si>
  <si>
    <t>ovaall</t>
  </si>
  <si>
    <t>OvaAll วิตามินโอวาออลล์</t>
  </si>
  <si>
    <t>⭐ แกนหลัก (หญิง)</t>
  </si>
  <si>
    <t>วันละ 1 ซอง (4 เม็ด) พร้อมอาหารมื้อใดก็ได้ · เริ่มล่วงหน้าอย่างน้อย 3 เดือน</t>
  </si>
  <si>
    <t>โฟลิก 400mcg · CoQ10 30mg · น้ำมันปลา 500mg · มัลติวิตามิน&amp;แร่ธาตุ 21 ชนิด</t>
  </si>
  <si>
    <t>วิตามินรวมบำรุงไข่ ครบในซองเดียว</t>
  </si>
  <si>
    <t>ตั้งครรภ์แล้วทานต่อได้ภายใต้คำแนะนำแพทย์</t>
  </si>
  <si>
    <t>—</t>
  </si>
  <si>
    <t>leaflet #9</t>
  </si>
  <si>
    <t>✅ ครบ</t>
  </si>
  <si>
    <t>ferty</t>
  </si>
  <si>
    <t>Ferty โปรตีนเฟอร์ตี้</t>
  </si>
  <si>
    <t>วันละ 2 ซอง (เช้า/เย็น) ชงน้ำ นมแพะ หรือนมอัลมอนด์ · ผนังมดลูกบางไม่ถึง 7 มม. ใช้วันละ 3 ซอง</t>
  </si>
  <si>
    <t>1 ซอง = โปรตีน 25 กรัม · มีโฟลิก/CoQ10/วิตามินดี/บีรวม/อิโนซิทอล</t>
  </si>
  <si>
    <t>โปรตีนพืช + มัลติวิตามิน/แร่ธาตุ + superfood 33 ชนิด บำรุงไข่และผนังมดลูก</t>
  </si>
  <si>
    <t>leaflet #6</t>
  </si>
  <si>
    <t>collatelo</t>
  </si>
  <si>
    <t>Colla Telo คอลลา เทโล</t>
  </si>
  <si>
    <t>วันละ 1 ซอง ละลายน้ำอุณหภูมิปกติ/เย็น 250 มล. หลังตื่นนอนทันทีหรือช่วงท้องว่าง · เร่งฟื้นฟู 2 ซอง</t>
  </si>
  <si>
    <t>Wellnex (ญี่ปุ่น) + Collective (ฝรั่งเศส) + Delphinol สารสกัดมากิเบอร์รี</t>
  </si>
  <si>
    <t>คอลลาเจน Type 1&amp;3 ช่วยบำรุงไข่และเตรียมผนังมดลูก</t>
  </si>
  <si>
    <t>⚠️ มีส่วนประกอบจากปลา — ผู้แพ้อาหารทะเลต้องระวัง</t>
  </si>
  <si>
    <t>leaflet #1</t>
  </si>
  <si>
    <t>ferti9oil</t>
  </si>
  <si>
    <t>Ferti 9 Oil เฟอร์ติ ไนน์ ออยล์</t>
  </si>
  <si>
    <t>วันละ 2 เม็ด พร้อมอาหาร หรือพร้อม OvaAll · ช่วงกระตุ้นไข่ 4 เม็ด · เตรียมผนังบาง 2–4 เม็ด</t>
  </si>
  <si>
    <t>อีฟนิ่งพริมโรส · มะรุม DHA · สาหร่าย · ฟักทอง · แฟล็กซีด</t>
  </si>
  <si>
    <t>9 น้ำมันดี ตั้งต้นฮอร์โมนเพศหญิง บำรุงมดลูก</t>
  </si>
  <si>
    <t>ใส่ตัวอ่อนแล้วลดเหลือวันละ 1–2 เม็ด · ทานยาวถึงช่วงให้นมได้</t>
  </si>
  <si>
    <t>leaflet #11</t>
  </si>
  <si>
    <t>✅ ครบ (ยืนยัน 27 ก.ค. = รับประทาน ไม่ใช่น้ำมันทา)</t>
  </si>
  <si>
    <t>pcovit</t>
  </si>
  <si>
    <t>PCO-VIT พีซีโอวิท</t>
  </si>
  <si>
    <t>🎯 เสริมตามโปรไฟล์</t>
  </si>
  <si>
    <t>ทานคู่กับการดูแลเรื่องน้ำตาล</t>
  </si>
  <si>
    <t>สำหรับผู้ที่ต้องการดูแลสมดุลในกลุ่ม PCOS (เสริมโภชนาการ ไม่ใช่ยารักษา)</t>
  </si>
  <si>
    <t>ถ้าใช้ยาอยู่ ปรึกษาแพทย์/เภสัชกรก่อน</t>
  </si>
  <si>
    <t>catalog เดิม</t>
  </si>
  <si>
    <t>⏳ ขอวิธีรับประทานละเอียด (กี่เม็ด/ตอนไหน)</t>
  </si>
  <si>
    <t>aos</t>
  </si>
  <si>
    <t>A.O.S เอ โอ เอส</t>
  </si>
  <si>
    <t>วันละ 2 แคปซูล หลังตื่นนอน (active dose แอสตาแซนธิน ~12 มก./วัน)</t>
  </si>
  <si>
    <t>AstaZine astaxanthin (ญี่ปุ่น) + SOD (ฝรั่งเศส) + NMN องุ่นแดง รวม 10 ชนิด</t>
  </si>
  <si>
    <t>สารต้านอนุมูลอิสระเข้มข้น ดูแลคุณภาพไข่และตัวอ่อน</t>
  </si>
  <si>
    <t>❌ หลังใส่ตัวอ่อน · ตั้งครรภ์</t>
  </si>
  <si>
    <t>leaflet #3</t>
  </si>
  <si>
    <t>varginaree</t>
  </si>
  <si>
    <t>Varginaree วาร์จินนารี</t>
  </si>
  <si>
    <t>วันละ 1–2 แคปซูล ก่อนนอน · ไข่เสื่อม/เอสโตรเจนต่ำ หรือเตรียมผนัง ใช้ 2 เม็ด</t>
  </si>
  <si>
    <t>Solgen ES + ไฟโตเอสโตรเจน 14 ชนิด (ตังกุย/โสม)</t>
  </si>
  <si>
    <t>ดูแลภายในสตรี 3 ระบบ — สมดุลฮอร์โมน ภายใน และผิว</t>
  </si>
  <si>
    <t>❌ หลังใส่ตัวอ่อน · ตั้งครรภ์ · ให้นม</t>
  </si>
  <si>
    <t>leaflet #16</t>
  </si>
  <si>
    <t>nightshot</t>
  </si>
  <si>
    <t>Night Shot ไนท์ ชอท</t>
  </si>
  <si>
    <t>วันละ 1 ซอง 30 นาทีก่อนนอน</t>
  </si>
  <si>
    <t>Pharmagaba (ญี่ปุ่น) + L-Theanine AlphaWave (สหรัฐฯ) + ซิงก์ + แบล็คเคอแรนท์</t>
  </si>
  <si>
    <t>วิตามินน้ำช่วยเรื่องการนอน — การนอนดีคือฐานของฮอร์โมน</t>
  </si>
  <si>
    <t>อาจทำให้ง่วง — ไม่ควรขับรถหลังทาน</t>
  </si>
  <si>
    <t>leaflet #17</t>
  </si>
  <si>
    <t>phytocrystalc</t>
  </si>
  <si>
    <t>Phyto Crystal C ไฟโตคริสตัลซี</t>
  </si>
  <si>
    <t>🥗 โภชนาการเสริม</t>
  </si>
  <si>
    <t>สอบถามราคา</t>
  </si>
  <si>
    <t>วันละ 2–3 ซอง ผสมน้ำ 150 มล. · หลังตื่นนอนหรือช่วงท้องว่าง</t>
  </si>
  <si>
    <t>3 รส: องุ่นไซบัคคัล · ลิ้นจี่ · ส้มสีเลือด</t>
  </si>
  <si>
    <t>วิตามินซีจากผลไม้ 16 ชนิด ปกป้องเซลล์ไข่และเสริมภูมิคุ้มกัน</t>
  </si>
  <si>
    <t>leaflet #2</t>
  </si>
  <si>
    <t>⏳ ไม่มีราคาในเอกสารใดเลย — แอปแสดง "สอบถามราคา"</t>
  </si>
  <si>
    <t>kaffirshot</t>
  </si>
  <si>
    <t>น้ำมะกรูด Shot 100%</t>
  </si>
  <si>
    <t>วันละ 1–2 ขวด ผสมน้ำเจือจางหรือแบ่งทานได้ · ควรดูดผ่านหลอดเพื่อลดการสึกกร่อนของฟัน</t>
  </si>
  <si>
    <t>ไบโอฟลาโวนอยด์ · เควอซิทิน · วิตามินซี</t>
  </si>
  <si>
    <t>สารต้านอนุมูลอิสระ 3 ชนิด ช่วยการไหลเวียนเลือด</t>
  </si>
  <si>
    <t>ผู้เป็นโรคกระเพาะหรือกรดไหลย้อน ไม่แนะนำ · เก็บตู้เย็น 20 วัน / ฟรีซ 1 ปี</t>
  </si>
  <si>
    <t>leaflet #4</t>
  </si>
  <si>
    <t>kaffirhoney</t>
  </si>
  <si>
    <t>น้ำมะกรูด 70% + น้ำผึ้งชันโรง</t>
  </si>
  <si>
    <t>วันละ 1–2 ขวด หรือผสมกับสูตรคั้นสด 100%</t>
  </si>
  <si>
    <t>ต้านอนุมูลอิสระ บำรุงเลือด และมีโพรไบโอติกส์ธรรมชาติ</t>
  </si>
  <si>
    <t>เปิดขวดแล้วเก็บในตู้เย็น</t>
  </si>
  <si>
    <t>leaflet #5</t>
  </si>
  <si>
    <t>goodgrain</t>
  </si>
  <si>
    <t>Good Grain ธัญพืชออร์แกนิค</t>
  </si>
  <si>
    <t>ผสมกับ Ferty 2 ช้อนชาพูน</t>
  </si>
  <si>
    <t>อัลมอนด์ · แฟล็กซีด · ลูกเดือย</t>
  </si>
  <si>
    <t>โปรตีนและกรดไขมันดี เสริมผนังมดลูก</t>
  </si>
  <si>
    <t>เปิดแล้วแช่เย็น (ไม่มีสารกันบูด)</t>
  </si>
  <si>
    <t>leaflet #7</t>
  </si>
  <si>
    <t>pureblack</t>
  </si>
  <si>
    <t>Pure Black งาดำออร์แกนิค</t>
  </si>
  <si>
    <t>เซซามินและแคลเซียม ช่วยเรื่องสมดุลฮอร์โมน</t>
  </si>
  <si>
    <t>เปิดแล้วแช่เย็น</t>
  </si>
  <si>
    <t>leaflet #8</t>
  </si>
  <si>
    <t>pureseed</t>
  </si>
  <si>
    <t>Pure Seed เมล็ดฟักทองอบ</t>
  </si>
  <si>
    <t>🥗 โภชนาการเสริม (ใช้ทั้งหญิง+ชาย)</t>
  </si>
  <si>
    <t>วันละ 1 กำมือ · โรยข้าว ผสมซุป หรือปั่นรวมกับโปรตีนได้</t>
  </si>
  <si>
    <t>โปรตีนพืช วิตามินอี และซิงก์ บำรุงทั้งไข่และสเปิร์ม</t>
  </si>
  <si>
    <t>แนะนำให้สามีทานด้วย (ซิงก์บำรุงสเปิร์ม)</t>
  </si>
  <si>
    <t>leaflet #10</t>
  </si>
  <si>
    <t>purered</t>
  </si>
  <si>
    <t>Pure Red ผงผักเพียวเรด</t>
  </si>
  <si>
    <t>น้ำมะเขือเทศ 1 กล่อง + ผง 2 ช้อนชา · ช่วงท้องว่างดีที่สุด</t>
  </si>
  <si>
    <t>แครอท · ทับทิม · มะเขือเทศ · บีทรูท</t>
  </si>
  <si>
    <t>ต้านอนุมูลอิสระและช่วยการไหลเวียนเลือด มีโฟเลตช่วยสร้างเม็ดเลือด</t>
  </si>
  <si>
    <t>leaflet #12</t>
  </si>
  <si>
    <t>puregreen</t>
  </si>
  <si>
    <t>Pure Green ผงผักเพียวกรีน</t>
  </si>
  <si>
    <t>น้ำมะเขือเทศ 1 กล่อง + ผง 2 ช้อนชา</t>
  </si>
  <si>
    <t>อัลฟาฟา · สาหร่าย · มะรุม · วีทกลาส</t>
  </si>
  <si>
    <t>คลอโรฟิลล์สูง ช่วยดีท็อกซ์</t>
  </si>
  <si>
    <t>leaflet #13</t>
  </si>
  <si>
    <t>ginger</t>
  </si>
  <si>
    <t>Gold Ginger &amp; ขิงดำ</t>
  </si>
  <si>
    <t>ดื่มวันละ 1–2 แก้ว (ขิง 1 ซอง)</t>
  </si>
  <si>
    <t>จินเจอรอลต้านอนุมูลอิสระ ช่วยให้มดลูกอุ่น</t>
  </si>
  <si>
    <t>ช่วงตั้งครรภ์ทานขิงดำได้ (ช่วยเรื่องแพ้ท้อง)</t>
  </si>
  <si>
    <t>leaflet #14</t>
  </si>
  <si>
    <t>probiotics</t>
  </si>
  <si>
    <t>Ferty Probiotics โพรไบโอติกส์</t>
  </si>
  <si>
    <t>วันละ 1 ซอง หลังอาหารเย็น 2 ชั่วโมง</t>
  </si>
  <si>
    <t>9 สายพันธุ์ HAWARU (สหรัฐฯ) + Morinaga (ญี่ปุ่น) + พรีไบโอติก</t>
  </si>
  <si>
    <t>ปรับสมดุลลำไส้และภายใน</t>
  </si>
  <si>
    <t>เก็บตู้เย็นเพื่อรักษาจุลินทรีย์</t>
  </si>
  <si>
    <t>leaflet #15</t>
  </si>
  <si>
    <t>safflower</t>
  </si>
  <si>
    <t>ดอกคำฝอยออร์แกนิค</t>
  </si>
  <si>
    <t>ดอกคำฝอย 1 หยิบมือ + น้ำร้อน 250 มล. · ทานช่วงเริ่มมีประจำเดือน 7–10 วัน</t>
  </si>
  <si>
    <t>คาร์ทามินช่วยการไหลเวียนและเคลียร์เลือดเก่าค้างในมดลูก</t>
  </si>
  <si>
    <t>❌ วันไข่ตก · หลังใส่ตัวอ่อน · ตั้งครรภ์</t>
  </si>
  <si>
    <t>leaflet #19</t>
  </si>
  <si>
    <t>castoroil</t>
  </si>
  <si>
    <t>น้ำมันละหุ่งออร์แกนิคสกัดเย็น (+ ผ้าคอตตอนแฟลนเนล)</t>
  </si>
  <si>
    <t>🤲 ใช้ภายนอก</t>
  </si>
  <si>
    <t>ชุบผ้าคอตตอนแฟลนเนล วางบนหน้าท้อง + กระเป๋าน้ำร้อน 45–60 นาที · ทำช่วงหมดประจำเดือน 2–3 วัน/ครั้ง</t>
  </si>
  <si>
    <t>แพ็คน้ำมันละหุ่ง ช่วยการไหลเวียนเลือดบริเวณมดลูก</t>
  </si>
  <si>
    <t>‼️ ใช้ภายนอกเท่านั้น ห้ามรับประทาน · ผ้าคอตตอนแฟลนเนลแยกจำหน่าย ฿295</t>
  </si>
  <si>
    <t>leaflet #18</t>
  </si>
  <si>
    <t>mzall</t>
  </si>
  <si>
    <t>M-Z All</t>
  </si>
  <si>
    <t>♂ บำรุงชาย</t>
  </si>
  <si>
    <t>วันละ 1 เม็ด ก่อนนอนหรือเวลาใดก็ได้ (บำรุงต่อเนื่อง) · สูตรเร่งรัด 2 เม็ด ก่อนมีเพศสัมพันธ์ 45 นาที</t>
  </si>
  <si>
    <t>วิตามินรวมบำรุงชาย</t>
  </si>
  <si>
    <t>Prod Ins.docx</t>
  </si>
  <si>
    <t>🚫 เคลม "กันมะเร็งต่อมลูกหมาก/หย่อนสมรรถภาพ/ไม่มีผลข้างเคียง" ถูกบล็อก — ต้องมีเลข ฆอ.</t>
  </si>
  <si>
    <t>ferta</t>
  </si>
  <si>
    <t>Ferta เวย์โปรตีน</t>
  </si>
  <si>
    <t>วันละ 2 ซอง ชงกับน้ำเปล่า ก่อนออกกำลังกาย หรือเวลาใดก็ได้</t>
  </si>
  <si>
    <t>โปรตีนสำหรับฝ่ายชาย</t>
  </si>
  <si>
    <t>motila1</t>
  </si>
  <si>
    <t>Motila1 โมทิล่าวัน</t>
  </si>
  <si>
    <t>♂ บำรุงชาย — ⛔ ถอดออกชั่วคราว</t>
  </si>
  <si>
    <t>❓ ยังไม่มีข้อมูล</t>
  </si>
  <si>
    <t>บำรุงสเปิร์มสำหรับฝ่ายชาย</t>
  </si>
  <si>
    <t>เว็บไซต์</t>
  </si>
  <si>
    <t>⏳ ไม่มีวิธีรับประทาน — ถอดออกจากคำแนะนำจนกว่าจะได้ข้อมูล</t>
  </si>
  <si>
    <t>ตัวอย่างการกรอก →</t>
  </si>
  <si>
    <t>แก้เป็น: วันละ 1 เม็ด หลังอาหารเช้า</t>
  </si>
  <si>
    <t>ราคาขึ้นใหม่ 1 ส.ค. 69</t>
  </si>
  <si>
    <t>เงื่อนไขการแนะนำสินค้า — ตรรกะจริงในระบบ</t>
  </si>
  <si>
    <t>โปรไฟล์ผู้ใช้</t>
  </si>
  <si>
    <t>เงื่อนไขที่ระบบเช็ก</t>
  </si>
  <si>
    <t>ระบบทำอะไร</t>
  </si>
  <si>
    <t>สินค้าที่แนะนำ</t>
  </si>
  <si>
    <t>แสดงผลอย่างไร</t>
  </si>
  <si>
    <t>หมายเหตุ / ข้อความกำกับ</t>
  </si>
  <si>
    <t>ทุกโปรไฟล์หญิง</t>
  </si>
  <si>
    <t>ช่วงชีวิต ≠ ฝ่ายชาย</t>
  </si>
  <si>
    <t>⭐ แกนหลัก 4 ตัว</t>
  </si>
  <si>
    <t>OvaAll + Ferty + Colla Telo + Ferti 9 Oil</t>
  </si>
  <si>
    <t>กางให้เห็นทันที</t>
  </si>
  <si>
    <t>มี PCOS</t>
  </si>
  <si>
    <t>PCOS = ใช่/ไม่แน่ใจ</t>
  </si>
  <si>
    <t>🎯 เพิ่ม PCO-VIT</t>
  </si>
  <si>
    <t>PCO-VIT</t>
  </si>
  <si>
    <t>ข้อความกำกับ: "เน้นบำรุงไข่ + งดหวานเพื่อสมดุลฮอร์โมน (คำแนะนำทั่วไป ไม่ใช่การรักษาโรค)"</t>
  </si>
  <si>
    <t>มีบุตรยาก หรือ วางแผน IUI/IVF/ICSI</t>
  </si>
  <si>
    <t>ช่วงชีวิต = มีบุตรยาก  หรือ  แผน ART ≠ ยังไม่</t>
  </si>
  <si>
    <t>🎯 เพิ่ม A.O.S</t>
  </si>
  <si>
    <t>A.O.S</t>
  </si>
  <si>
    <t>+ กล่องเตือน "ปรึกษาแพทย์ที่ดูแลคุณก่อนเริ่มอาหารเสริมทุกตัว" และลิสต์ที่ต้องหยุดหลังใส่ตัวอ่อน</t>
  </si>
  <si>
    <t>🎯 เสริมประจำ</t>
  </si>
  <si>
    <t>Varginaree + Night Shot</t>
  </si>
  <si>
    <t>🥗 โภชนาการเสริม 11 ตัว</t>
  </si>
  <si>
    <t>Phyto Crystal C · Pure Seed · Good Grain · Pure Black · Pure Red · Pure Green · น้ำมะกรูด Shot · น้ำมะกรูด 70% · Gold Ginger &amp; ขิงดำ · Ferty Probiotics · ดอกคำฝอย</t>
  </si>
  <si>
    <t>พับไว้ (กดกางได้)</t>
  </si>
  <si>
    <t>ไม่ยัดเยียด — ผู้ใช้เลือกดูเอง</t>
  </si>
  <si>
    <t>แพ็คน้ำมันละหุ่ง</t>
  </si>
  <si>
    <t>ระบุชัด "ห้ามรับประทาน"</t>
  </si>
  <si>
    <t>ตั้งครรภ์</t>
  </si>
  <si>
    <t>ช่วงชีวิต = ตั้งครรภ์</t>
  </si>
  <si>
    <t>ตัดออกอัตโนมัติ</t>
  </si>
  <si>
    <t>A.O.S · น้ำมะกรูด Shot · Pure Green · Varginaree · ดอกคำฝอย · น้ำมันละหุ่ง</t>
  </si>
  <si>
    <t>ไม่แสดงเลย</t>
  </si>
  <si>
    <t>ตาม Safety Matrix — ดูชีต 3</t>
  </si>
  <si>
    <t>ให้นมบุตร</t>
  </si>
  <si>
    <t>ช่วงชีวิต = ให้นม</t>
  </si>
  <si>
    <t>Varginaree</t>
  </si>
  <si>
    <t>ฝ่ายชาย</t>
  </si>
  <si>
    <t>ช่วงชีวิต = ฝ่ายชาย</t>
  </si>
  <si>
    <t>ชุดบำรุงชาย</t>
  </si>
  <si>
    <t>M-Z All + Ferta + Pure Seed</t>
  </si>
  <si>
    <t>Motila1 ถอดออกชั่วคราว (ยังไม่มีวิธีรับประทาน)</t>
  </si>
  <si>
    <t>❓ ขอให้ตรวจเป็นพิเศษ: การจัดว่าอะไรคือ "แกนหลัก" กับ "เสริม" ถูกต้องตามหลักของครูก้อยไหม — จุดนี้มีผลต่อสิ่งที่ลูกค้าเห็นก่อน</t>
  </si>
  <si>
    <t>Safety Matrix — กฎ "หยุดเมื่อไหร่" ที่ระบบบังคับใช้</t>
  </si>
  <si>
    <t>สถานะผู้ใช้</t>
  </si>
  <si>
    <t>ต้องหยุด / ห้าม</t>
  </si>
  <si>
    <t>ระบบทำอะไรจริง</t>
  </si>
  <si>
    <t>ที่มาของกฎ</t>
  </si>
  <si>
    <t>✍️ เภสัชกร/ทีมยืนยัน</t>
  </si>
  <si>
    <t>✍️ ต้องเพิ่ม/แก้อะไร</t>
  </si>
  <si>
    <t>วันไข่ตก</t>
  </si>
  <si>
    <t>ดอกคำฝอย · แพ็คน้ำมันละหุ่ง</t>
  </si>
  <si>
    <t>แสดงเป็นคำเตือน (ยังแสดงสินค้าอยู่ เพราะระบบไม่รู้ว่าวันนี้เป็นวันไข่ตกของผู้ใช้หรือไม่)</t>
  </si>
  <si>
    <t>เอกสารแบรนด์</t>
  </si>
  <si>
    <t>หลังใส่ตัวอ่อน (embryo transfer)</t>
  </si>
  <si>
    <t>A.O.S · น้ำมะกรูด Shot 100% · Pure Green · Varginaree · ดอกคำฝอย · น้ำมันละหุ่ง
Ferti 9 Oil → ลดเหลือวันละ 1–2 เม็ด</t>
  </si>
  <si>
    <t>แสดงบรรทัดแดงใต้สินค้าแต่ละตัว + กล่องเตือนรวมสำหรับผู้ที่วางแผน ART</t>
  </si>
  <si>
    <t>✅ ตัดออกจากคำแนะนำอัตโนมัติ (ไม่แสดงเลย)</t>
  </si>
  <si>
    <t>✅ ตัดออกจากคำแนะนำอัตโนมัติ</t>
  </si>
  <si>
    <t>ทุกคน</t>
  </si>
  <si>
    <t>น้ำมันละหุ่ง = ใช้ภายนอก ห้ามรับประทาน</t>
  </si>
  <si>
    <t>แสดงข้อความ "‼️ ใช้ภายนอกเท่านั้น ห้ามรับประทาน" เสมอ + มีการทดสอบอัตโนมัติกันข้อความนี้หาย</t>
  </si>
  <si>
    <t>แพ้อาหารทะเล</t>
  </si>
  <si>
    <t>Colla Telo (มีส่วนประกอบจากปลา)</t>
  </si>
  <si>
    <t>แสดงข้อความเตือนใต้สินค้าเสมอ</t>
  </si>
  <si>
    <t>โรคกระเพาะ / กรดไหลย้อน</t>
  </si>
  <si>
    <t>น้ำมะกรูด Shot ไม่แนะนำ</t>
  </si>
  <si>
    <t>อยู่ระหว่างรักษากับแพทย์ (ART)</t>
  </si>
  <si>
    <t>ปรึกษาแพทย์ก่อนเริ่มทุกตัว (อาจตีกับยา)</t>
  </si>
  <si>
    <t>กล่องเตือนด้านบนผลลัพธ์ + ในแผน 90 วัน เดือนที่ 1 เปลี่ยนเป็น "ปรึกษาแพทย์ก่อนเริ่มวิตามินเสริมทุกชนิด"</t>
  </si>
  <si>
    <t>เอกสารแบรนด์ + red-team</t>
  </si>
  <si>
    <t>⚠️ ระบบไม่ถามว่า "ใส่ตัวอ่อนไปแล้วหรือยัง" จึงยังไม่ตัดรายการกลุ่มนั้นออกอัตโนมัติ — ใช้วิธีแสดงคำเตือนแทน
ถ้าทีมต้องการให้ตัดออกจริง ต้องเพิ่มคำถามในแบบสอบถาม แจ้งได้เลย</t>
  </si>
  <si>
    <t>แผน 90 วัน — เนื้อหาที่ผู้ใช้ได้รับจริง</t>
  </si>
  <si>
    <t>โปรไฟล์</t>
  </si>
  <si>
    <t>ช่วง</t>
  </si>
  <si>
    <t>สิ่งที่ผู้ใช้ได้อ่าน</t>
  </si>
  <si>
    <t>✍️ ทีมยืนยัน</t>
  </si>
  <si>
    <t>✍️ ต้องแก้เป็น</t>
  </si>
  <si>
    <t>หญิง (ทั่วไป / PCOS)</t>
  </si>
  <si>
    <t>เดือนที่ 1</t>
  </si>
  <si>
    <t>ปูพื้นฐานบำรุงไข่</t>
  </si>
  <si>
    <t>1) ยึดหลัก 70% อาหาร 30% วิตามิน
2) กินโปรตีนให้ถึงเป้า (คำนวณจากน้ำหนักตัว)
3) นอนก่อน 4 ทุ่ม (22:00) 7–9 ชม.
4) ถ้าต้องการเสริม: OvaAll วันละ 1 ซองพร้อมอาหาร</t>
  </si>
  <si>
    <t>เดือนที่ 2</t>
  </si>
  <si>
    <t>เร่งบำรุงไข่ + สมดุลฮอร์โมน</t>
  </si>
  <si>
    <t>1) งดหวาน/คาเฟอีน/น้ำเย็น (ถ้ามี PCOS จะเน้นว่า "สำคัญมาก")
2) ออกกำลังกายเบา (เดิน/โยคะ) 3 วัน/สัปดาห์
3) เพิ่มอะโวคาโด + น้ำผึ้งชันโรง ครึ่งผล/วัน
4) ถ้าต้องการเสริม: Ferty ช่วยให้โปรตีนครบ (+ PCO-VIT ถ้ามี PCOS)</t>
  </si>
  <si>
    <t>เดือนที่ 3</t>
  </si>
  <si>
    <t>เตรียมพร้อมสูงสุด</t>
  </si>
  <si>
    <t>1) ดูแลผนังมดลูกด้วยโภชนาการ (ธาตุเหล็ก/โฟเลต/วิตามินอี จากอาหาร) — หลีกเลี่ยงการประคบหรือสมุนไพรกระตุ้นมดลูกช่วงลุ้นผล
2) จดบันทึกรอบเดือน/วันไข่ตกให้แม่นขึ้น
3) คำแนะนำพบแพทย์ตามอายุ (ดูแถวล่าง)</t>
  </si>
  <si>
    <t>หญิงที่ทำ ART (IUI/IVF/ICSI)</t>
  </si>
  <si>
    <t>ปูพื้นฐาน — แต่หมอมาก่อน</t>
  </si>
  <si>
    <t>ข้อ 1 เปลี่ยนเป็น "ปรึกษาแพทย์ที่ดูแลคุณก่อนเริ่มวิตามินเสริมทุกชนิด (เพราะอาจมีผลต่อยาที่ได้รับ)"
ข้อ 4 เปลี่ยนเป็น "เมื่อแพทย์อนุญาต จึงเริ่มวิตามินบำรุง เช่น OvaAll"</t>
  </si>
  <si>
    <t>เตรียมพร้อมก่อนทำ (ระบุชื่อวิธี)</t>
  </si>
  <si>
    <t>ข้อ 3 เปลี่ยนเป็น "ปรึกษาแพทย์เรื่องจังหวะเก็บไข่/ย้ายตัวอ่อน"</t>
  </si>
  <si>
    <t>ปรับพื้นฐานฝ่ายชาย</t>
  </si>
  <si>
    <t>1) เพิ่มโปรตีน + เมล็ดฟักทอง (ซิงก์) ในมื้ออาหาร
2) งดเหล้า-บุหรี่ ลดความร้อนบริเวณอัณฑะ
3) นอนก่อน 4 ทุ่ม 7–9 ชม.
4) ถ้าต้องการเสริม: M-Z All วันละ 1 เม็ดก่อนนอน</t>
  </si>
  <si>
    <t>เร่งบำรุงสเปิร์ม</t>
  </si>
  <si>
    <t>1) ออกกำลังกายสม่ำเสมอ ไม่หักโหม
2) ลดน้ำตาล/อาหารแปรรูป
3) ถ้าต้องการเสริมโปรตีน: Ferta วันละ 2 ซอง ชงกับน้ำเปล่า</t>
  </si>
  <si>
    <t>พร้อมไปด้วยกัน</t>
  </si>
  <si>
    <t>1) ตรวจวิเคราะห์น้ำเชื้อกับแพทย์ (ถ้าจะทำ ART)
2) ประสานจังหวะกับช่วงไข่ตกของคู่</t>
  </si>
  <si>
    <t>ส่วนอื่นที่อยู่ในแผน</t>
  </si>
  <si>
    <t>เนื้อหา</t>
  </si>
  <si>
    <t>ที่มา</t>
  </si>
  <si>
    <t>คำแนะนำพบแพทย์ (ตามอายุ)</t>
  </si>
  <si>
    <t>อายุ 40+ → "แนะนำพบแพทย์ผู้เชี่ยวชาญด้านมีบุตรยากได้เลย ไม่ต้องรอให้ครบกำหนด"
อายุ 35–39 → "พยายามเอง 6 เดือนยังไม่สำเร็จ ควรปรึกษาแพทย์"
ต่ำกว่า 35 → "พยายามเอง 12 เดือนยังไม่สำเร็จ ควรปรึกษาแพทย์"</t>
  </si>
  <si>
    <t>แนวปฏิบัติสากลเรื่องภาวะมีบุตรยาก</t>
  </si>
  <si>
    <t>สิ่งที่ทำได้วันนี้ (Quick win)</t>
  </si>
  <si>
    <t>มี PCOS → "วันนี้: งดของหวานทั้งหมด แล้วดื่มน้ำอุ่น 1 แก้วตอนตื่น"
ฝ่ายชาย → "วันนี้: เพิ่มไข่ต้ม 2 ฟอง + เมล็ดฟักทองหนึ่งกำมือ"
อื่น ๆ → "วันนี้: กินไข่ต้ม 2 ฟอง และเข้านอนก่อน 4 ทุ่ม"</t>
  </si>
  <si>
    <t>ทีมพัฒนากำหนด</t>
  </si>
  <si>
    <t>ชวนคู่</t>
  </si>
  <si>
    <t>"ชวนคุณสามีเตรียมตัวไปด้วยกันนะคะ — สุขภาพฝ่ายชายมีผลต่อการเตรียมพร้อมมากกว่าที่คิด"</t>
  </si>
  <si>
    <t>ปัจจัยฝ่ายชาย ~40% ของภาวะมีบุตรยาก</t>
  </si>
  <si>
    <t>คำเตือนที่ติดไปกับแผนเสมอ</t>
  </si>
  <si>
    <t>"แผนนี้เป็นคำแนะนำทั่วไปเพื่อเตรียมความพร้อม ไม่ใช่การวินิจฉัยหรือรักษาโรค และไม่รับประกันการตั้งครรภ์"
+ PCOS → เตือนว่านับวันไข่ตกอาจคลาดเคลื่อน
+ ART → "อย่าหยุดหรือปรับยา/วิตามินเองก่อนปรึกษาแพทย์"
+ อายุ 35+ → "เรื่องเวลาเป็นสิ่งสำคัญ แนะนำปรึกษาแพทย์ผู้เชี่ยวชาญควบคู่"</t>
  </si>
  <si>
    <t>legal-compliance.md (บังคับ)</t>
  </si>
  <si>
    <t>สูตรคำนวณทุกตัว + ที่มา</t>
  </si>
  <si>
    <t>เครื่องมือ</t>
  </si>
  <si>
    <t>สูตร / กฎ</t>
  </si>
  <si>
    <t>หมายเหตุ</t>
  </si>
  <si>
    <t>นับวันไข่ตก</t>
  </si>
  <si>
    <t>วันไข่ตก = วันแรกของประจำเดือนถัดไป − 14 วัน</t>
  </si>
  <si>
    <t>ระยะ luteal ~14 วัน (ค่าคงที่)</t>
  </si>
  <si>
    <t>หลักการมาตรฐานสากล</t>
  </si>
  <si>
    <t>✅ อ้างอิงได้</t>
  </si>
  <si>
    <t>ช่วงมีโอกาส = วันไข่ตก −5 ถึง +1 วัน</t>
  </si>
  <si>
    <t>รวม 7 วัน</t>
  </si>
  <si>
    <t>อายุอสุจิในระบบสืบพันธุ์ ~5 วัน</t>
  </si>
  <si>
    <t>รับรอบเดือน 21–35 วันเท่านั้น · เกิน 32 วันขึ้นเตือน "รอบไม่สม่ำเสมอ"</t>
  </si>
  <si>
    <t>นอกช่วงนี้ปฏิเสธการคำนวณ</t>
  </si>
  <si>
    <t>ทีมพัฒนากำหนดเอง</t>
  </si>
  <si>
    <t>⚠️ ขอให้ตรวจ</t>
  </si>
  <si>
    <t>ข้อความบังคับ: "ใช้คุมกำเนิดไม่ได้"</t>
  </si>
  <si>
    <t>legal-compliance.md</t>
  </si>
  <si>
    <t>✅ บังคับ</t>
  </si>
  <si>
    <t>โปรตีน</t>
  </si>
  <si>
    <t>เตรียมตั้งครรภ์ = 1.2–1.5 กรัม/น้ำหนักตัว 1 กก./วัน</t>
  </si>
  <si>
    <t>เช่น 55 กก. → 66–83 กรัม/วัน</t>
  </si>
  <si>
    <t>ช่วงล่างจากแนวปฏิบัติก่อนตั้งครรภ์ · ช่วงบน 1.5 จากสูตรครูก้อยเอง (Ferty)</t>
  </si>
  <si>
    <t>✅ ตัดสินใจร่วม 25 ก.ค.</t>
  </si>
  <si>
    <t>ตั้งครรภ์ = 1.1–1.3 · ให้นม = 1.3 · ฝ่ายชาย = 1.2–1.6</t>
  </si>
  <si>
    <t>แนวปฏิบัติโภชนาการทั่วไป (ไม่เฉพาะเจาะจงเรื่องเจริญพันธุ์)</t>
  </si>
  <si>
    <t>แปลงเป็นจำนวนซอง Ferty: 1 ซอง = 25 กรัม · ไข่ 1 ฟอง = 6.5 กรัม</t>
  </si>
  <si>
    <t>ฉลากสินค้า + ค่ามาตรฐานอาหาร</t>
  </si>
  <si>
    <t>รับน้ำหนัก 30–150 กก. เท่านั้น</t>
  </si>
  <si>
    <t>นอกช่วงนี้ปฏิเสธ</t>
  </si>
  <si>
    <t>เช็กสารอาหาร</t>
  </si>
  <si>
    <t>รายการที่ควรกิน 8 อย่าง: ไข่ต้ม 2 ฟอง · ปลา 1 ตัว · อะโวคาโด+น้ำผึ้งชันโรง · ข้าวกล้อง 1 ถ้วยเล็ก · ผักสด 1 ถ้วย · น้ำเปล่าไม่เย็น 2–3 ลิตร · ผงผักเพียวเรด/กรีน · น้ำมะกรูด</t>
  </si>
  <si>
    <t>แบ่งเป็น 3 เสา: คุณภาพไข่ / มดลูก / ฮอร์โมน</t>
  </si>
  <si>
    <t>สูตรครูก้อย (nutrition-protocol.md)</t>
  </si>
  <si>
    <t>⚠️ ขอให้ตรวจว่าครบ/ถูก</t>
  </si>
  <si>
    <t>รายการที่ควรเลี่ยง 5 อย่าง: ของหวาน/น้ำตาล · น้ำเย็น · ชา-กาแฟ-คาเฟอีน · ไขมันทรานส์ · อาหารแปรรูป</t>
  </si>
  <si>
    <t>สูตรครูก้อย</t>
  </si>
  <si>
    <t>คะแนน = (จำนวนที่กินได้ ÷ จำนวนทั้งหมดในเสานั้น) × 100</t>
  </si>
  <si>
    <t>คะแนนรวม = เฉลี่ยของ 3 เสา</t>
  </si>
  <si>
    <t>การนอน</t>
  </si>
  <si>
    <t>แนะนำเวลาเข้านอนจากเวลาตื่น: รอบละ 90 นาที × 5–6 รอบ + เผื่อหลับ 15 นาที</t>
  </si>
  <si>
    <t>รวมนอน 7.5–9 ชม.</t>
  </si>
  <si>
    <t>ทฤษฎีวงจรการนอน 90 นาที</t>
  </si>
  <si>
    <t>เกณฑ์ "ดี" = เข้านอนก่อน 22:00 และนอน 7–9 ชม.</t>
  </si>
  <si>
    <t>กฎครูก้อย "นอนก่อน 4 ทุ่ม"</t>
  </si>
  <si>
    <t>✅ ตามแบรนด์</t>
  </si>
  <si>
    <t>เฉลี่ยจากเสาที่ผู้ใช้ทำเครื่องมือแล้วเท่านั้น (คุณภาพไข่ / โภชนาการรวม / การนอน / สมดุลฮอร์โมน)</t>
  </si>
  <si>
    <t>ยังไม่ทำเครื่องมือเลย → ตั้งต้น 50</t>
  </si>
  <si>
    <t>🔴 ทีมพัฒนากำหนดเอง</t>
  </si>
  <si>
    <t>🔴 ยังไม่ผ่านเภสัชกร</t>
  </si>
  <si>
    <t>คะแนนการนอน: ก่อน 4 ทุ่ม + นอนพอ = 92 · นอนพออย่างเดียว = 72 · นอกนั้น = 48</t>
  </si>
  <si>
    <t>ถ้ามี PCOS หักคะแนนเสา "สมดุลฮอร์โมน" 10 คะแนน</t>
  </si>
  <si>
    <t>ป้ายกำกับ: ≥80 = "พร้อมดีมาก 💚" · ≥60 = "พร้อมพอควร มีจุดเสริม 💛" · ต่ำกว่านั้น = "เริ่มต้นได้ดี มีหลายอย่างที่ทำได้เลย 🌱"</t>
  </si>
  <si>
    <t>ไม่มีคำว่า "แย่/ไม่ผ่าน" เลย</t>
  </si>
  <si>
    <t>🔴 ทีมพัฒนากำหนดเอง (ตั้งใจให้ไม่ตัดสินคน)</t>
  </si>
  <si>
    <t>แสดง "จุดแข็ง" ก่อนคะแนนเสมอ · เรียกจุดอ่อนว่า "จุดที่เสริมได้" ไม่ใช่ "จุดที่พลาด"</t>
  </si>
  <si>
    <t>งานวิจัยแรงจูงใจ (MOTIVATION-RESEARCH.md)</t>
  </si>
  <si>
    <t>✅ ตั้งใจออกแบบ</t>
  </si>
  <si>
    <t>🔴 แถวสีแดง = เกณฑ์คะแนนที่ทีมพัฒนาตั้งขึ้นเองเพื่อให้ระบบทำงานได้ก่อน ยังไม่มีงานวิจัยหรือผู้เชี่ยวชาญรองรับ
ขอให้เภสัชกรหรือผู้เชี่ยวชาญของแบรนด์ตรวจก่อนใช้กับลูกค้าจริง หรือแจ้งว่าไม่ควรแสดงคะแนนเลยก็ได้</t>
  </si>
  <si>
    <t>คำถามที่รอคำตอบจากทีมครูก้อย</t>
  </si>
  <si>
    <t>คำถาม</t>
  </si>
  <si>
    <t>สถานการณ์ตอนนี้</t>
  </si>
  <si>
    <t>ระบบทำอะไรไปก่อน</t>
  </si>
  <si>
    <t>ระดับผลกระทบ</t>
  </si>
  <si>
    <t>✍️ คำตอบจากทีม</t>
  </si>
  <si>
    <t>ราคา Phyto Crystal C</t>
  </si>
  <si>
    <t>ไม่มีราคาในเอกสารใดเลย</t>
  </si>
  <si>
    <t>แอปแสดง "สอบถามราคา" แทนราคาจริง (ไม่เดาตัวเลข)</t>
  </si>
  <si>
    <t>🔴 กระทบสิ่งที่ลูกค้าเห็น</t>
  </si>
  <si>
    <t>⏳ รอตอบ</t>
  </si>
  <si>
    <t>วิธีรับประทาน Motila1</t>
  </si>
  <si>
    <t>เอกสารมีแค่ชื่อกับราคา</t>
  </si>
  <si>
    <t>ถอด Motila1 ออกจากคำแนะนำฝ่ายชายชั่วคราว ใช้ M-Z All แทน — ได้ข้อมูลเมื่อไหร่ใส่กลับได้ทันที</t>
  </si>
  <si>
    <t>🔴 สินค้าหายไป 1 ตัว</t>
  </si>
  <si>
    <t>วิธีรับประทาน PCO-VIT แบบละเอียด</t>
  </si>
  <si>
    <t>เอกสารระบุแค่ "ทานคู่กับการดูแลเรื่องน้ำตาล" ไม่บอกจำนวนเม็ด/เวลา</t>
  </si>
  <si>
    <t>แสดงข้อความเท่าที่มี</t>
  </si>
  <si>
    <t>🟡 ข้อมูลไม่ครบ</t>
  </si>
  <si>
    <t>มี leaflet ชุดฝ่ายชาย / ชุดตั้งครรภ์ / ชุดให้นม ไหม</t>
  </si>
  <si>
    <t>ตอนนี้มีแค่ leaflet "ชุดเตรียมตั้งครรภ์หญิง" (19 รายการ)</t>
  </si>
  <si>
    <t>ฝ่ายชายมีแค่ 3 ตัว · ช่วงตั้งครรภ์/ให้นมใช้ชุดหญิงกรองด้วย Safety Matrix</t>
  </si>
  <si>
    <t>🟡 อาจแนะนำได้ครบกว่านี้</t>
  </si>
  <si>
    <t>เลข ฆอ. ของ M-Z All</t>
  </si>
  <si>
    <t>เอกสารการตลาดเคลม "กันมะเร็งต่อมลูกหมาก / หย่อนสมรรถภาพ / ไม่มีผลข้างเคียง"</t>
  </si>
  <si>
    <t>🚫 ระบบบล็อกข้อความเหล่านี้ไว้ (เคลมป้องกันโรค ผิดกฎโฆษณาอาหาร) ใช้ข้อความกลางแทน</t>
  </si>
  <si>
    <t>🔴 ข้อกฎหมาย</t>
  </si>
  <si>
    <t>ใครตรวจเกณฑ์คะแนนความพร้อม 0–100</t>
  </si>
  <si>
    <t>เกณฑ์ทั้งหมดทีมพัฒนาตั้งเอง</t>
  </si>
  <si>
    <t>แสดงคะแนนอยู่ พร้อมคำเตือนว่าไม่ใช่การวินิจฉัย</t>
  </si>
  <si>
    <t>🔴 ควรมีผู้เชี่ยวชาญรับรอง</t>
  </si>
  <si>
    <t>สถานะ อย. / ฆอ. ของสินค้าทุกตัว</t>
  </si>
  <si>
    <t>ยังไม่มีข้อมูล</t>
  </si>
  <si>
    <t>ยังไม่แสดงเลข อย. ในแอป</t>
  </si>
  <si>
    <t>🟡 ต้องมีก่อนทำโฆษณา</t>
  </si>
  <si>
    <t>ราคาปัจจุบันทั้งหมด</t>
  </si>
  <si>
    <t>ราคาดึงจากเว็บ อาจไม่อัปเดต</t>
  </si>
  <si>
    <t>แสดงราคาตามเอกสารที่ได้รับ</t>
  </si>
  <si>
    <t>🟡 อาจคลาดเคลื่อน</t>
  </si>
  <si>
    <t>CAT</t>
  </si>
  <si>
    <t>STAGE - 1</t>
  </si>
  <si>
    <t>STAGE - 2</t>
  </si>
  <si>
    <t>มีบุตรยาก</t>
  </si>
  <si>
    <t>รังไข่เสื่อม</t>
  </si>
  <si>
    <t>น้ำหนักเกิน</t>
  </si>
  <si>
    <t>PCOS</t>
  </si>
  <si>
    <t>Hormone ต่ำ</t>
  </si>
  <si>
    <t>ผนังมดลูกบาง</t>
  </si>
  <si>
    <t>ปัญหาจากฝ่ายชาย</t>
  </si>
  <si>
    <t>ไม่แน่ใจ</t>
  </si>
  <si>
    <t>ตั้งครรภ์แล้ว</t>
  </si>
  <si>
    <t>SUB-CAT</t>
  </si>
  <si>
    <t>-</t>
  </si>
  <si>
    <t>ยังไม่เข้ากระบวนการทางการแพทย์</t>
  </si>
  <si>
    <t>IUI</t>
  </si>
  <si>
    <t>IVF/ICSI (เด็กหลอดแก้ว)</t>
  </si>
  <si>
    <t>เตรียมผนังมดลูก</t>
  </si>
  <si>
    <t>ใส่ตัวอ่อน</t>
  </si>
  <si>
    <t>บำรุงไข่ + Sperm</t>
  </si>
  <si>
    <t>Product</t>
  </si>
  <si>
    <t>Common, PCOVit</t>
  </si>
  <si>
    <t>Common</t>
  </si>
  <si>
    <t>Product (Man)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</si>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</sst>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3D3D4D"/>
      <name val="Tahoma"/>
    </font>
    <font>
      <i/>
      <sz val="9"/>
      <color rgb="FF8A8A9A"/>
      <name val="Tahoma"/>
    </font>
    <font>
      <b/>
      <sz val="10"/>
      <color rgb="FFFFFFFF"/>
      <name val="Tahoma"/>
    </font>
    <font>
      <sz val="10"/>
      <color rgb="FF3D3D4D"/>
      <name val="Tahoma"/>
    </font>
    <font>
      <b/>
      <sz val="12"/>
      <color rgb="FF3D3D4D"/>
      <name val="Tahoma"/>
    </font>
    <font>
      <b/>
      <sz val="11"/>
      <color rgb="FF3D3D4D"/>
      <name val="Tahoma"/>
    </font>
    <font>
      <b/>
      <sz val="12"/>
      <color rgb="FFE14F97"/>
      <name val="Tahoma"/>
    </font>
    <font>
      <b/>
      <i/>
      <sz val="9"/>
      <color rgb="FF8A8A9A"/>
      <name val="Tahoma"/>
    </font>
    <font>
      <b/>
      <sz val="10"/>
      <color rgb="FFE14F97"/>
      <name val="Tahoma"/>
    </font>
    <font>
      <b/>
      <sz val="10"/>
      <color rgb="FFC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1BC0BA"/>
      </patternFill>
    </fill>
    <fill>
      <patternFill patternType="solid">
        <fgColor rgb="FFF978B3"/>
      </patternFill>
    </fill>
    <fill>
      <patternFill patternType="solid">
        <fgColor rgb="FFE6F7F6"/>
      </patternFill>
    </fill>
    <fill>
      <patternFill patternType="solid">
        <fgColor rgb="FFFFF2CC"/>
      </patternFill>
    </fill>
    <fill>
      <patternFill patternType="solid">
        <fgColor rgb="FFFFE7F1"/>
      </patternFill>
    </fill>
  </fills>
  <borders count="2">
    <border>
      <left/>
      <right/>
      <top/>
      <bottom/>
      <diagonal/>
    </border>
    <border>
      <left style="thin">
        <color rgb="FFD9D9E0"/>
      </left>
      <right style="thin">
        <color rgb="FFD9D9E0"/>
      </right>
      <top style="thin">
        <color rgb="FFD9D9E0"/>
      </top>
      <bottom style="thin">
        <color rgb="FFD9D9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0" borderId="0" xfId="0" applyFont="1"/>
    <xf numFmtId="0" fontId="6" fillId="4" borderId="1" xfId="0" applyFont="1" applyFill="1" applyBorder="1" applyAlignment="1">
      <alignment horizontal="center"/>
    </xf>
    <xf numFmtId="0" fontId="7" fillId="0" borderId="0" xfId="0" applyFont="1"/>
    <xf numFmtId="0" fontId="4" fillId="5" borderId="1" xfId="0" applyFont="1" applyFill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6" fillId="6" borderId="1" xfId="0" applyFont="1" applyFill="1" applyBorder="1" applyAlignment="1">
      <alignment horizontal="center"/>
    </xf>
    <xf numFmtId="0" fontId="9" fillId="0" borderId="0" xfId="0" applyFont="1" applyAlignment="1">
      <alignment vertical="top" wrapText="1"/>
    </xf>
    <xf numFmtId="0" fontId="0" fillId="0" borderId="0" xfId="0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showGridLines="0" zoomScale="130" zoomScaleNormal="130" workbookViewId="0">
      <pane ySplit="27" topLeftCell="A28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05" customWidth="1"/>
  </cols>
  <sheetData>
    <row r="1" spans="1:2" ht="22" customHeight="1" x14ac:dyDescent="0.2">
      <c r="A1" s="1" t="s">
        <v>0</v>
      </c>
    </row>
    <row r="2" spans="1:2" x14ac:dyDescent="0.2">
      <c r="A2" s="2" t="s">
        <v>1</v>
      </c>
    </row>
    <row r="4" spans="1:2" ht="34" customHeight="1" x14ac:dyDescent="0.2">
      <c r="A4" s="3" t="s">
        <v>2</v>
      </c>
      <c r="B4" s="3" t="s">
        <v>3</v>
      </c>
    </row>
    <row r="5" spans="1:2" x14ac:dyDescent="0.2">
      <c r="A5" s="4" t="s">
        <v>4</v>
      </c>
      <c r="B5" s="4" t="s">
        <v>5</v>
      </c>
    </row>
    <row r="6" spans="1:2" x14ac:dyDescent="0.2">
      <c r="A6" s="4" t="s">
        <v>6</v>
      </c>
      <c r="B6" s="4" t="s">
        <v>7</v>
      </c>
    </row>
    <row r="7" spans="1:2" x14ac:dyDescent="0.2">
      <c r="A7" s="4" t="s">
        <v>8</v>
      </c>
      <c r="B7" s="4" t="s">
        <v>9</v>
      </c>
    </row>
    <row r="8" spans="1:2" x14ac:dyDescent="0.2">
      <c r="A8" s="4" t="s">
        <v>10</v>
      </c>
      <c r="B8" s="4" t="s">
        <v>11</v>
      </c>
    </row>
    <row r="9" spans="1:2" x14ac:dyDescent="0.2">
      <c r="A9" s="4" t="s">
        <v>12</v>
      </c>
      <c r="B9" s="4" t="s">
        <v>13</v>
      </c>
    </row>
    <row r="10" spans="1:2" x14ac:dyDescent="0.2">
      <c r="A10" s="4" t="s">
        <v>14</v>
      </c>
      <c r="B10" s="4" t="s">
        <v>15</v>
      </c>
    </row>
    <row r="13" spans="1:2" ht="16" x14ac:dyDescent="0.2">
      <c r="A13" s="5" t="s">
        <v>16</v>
      </c>
    </row>
    <row r="14" spans="1:2" ht="34" customHeight="1" x14ac:dyDescent="0.2">
      <c r="A14" s="6" t="s">
        <v>17</v>
      </c>
      <c r="B14" s="6" t="s">
        <v>18</v>
      </c>
    </row>
    <row r="15" spans="1:2" x14ac:dyDescent="0.2">
      <c r="A15" s="4" t="s">
        <v>19</v>
      </c>
      <c r="B15" s="4" t="s">
        <v>20</v>
      </c>
    </row>
    <row r="16" spans="1:2" x14ac:dyDescent="0.2">
      <c r="A16" s="4" t="s">
        <v>21</v>
      </c>
      <c r="B16" s="4" t="s">
        <v>22</v>
      </c>
    </row>
    <row r="17" spans="1:2" x14ac:dyDescent="0.2">
      <c r="A17" s="4" t="s">
        <v>23</v>
      </c>
      <c r="B17" s="4" t="s">
        <v>24</v>
      </c>
    </row>
    <row r="18" spans="1:2" x14ac:dyDescent="0.2">
      <c r="A18" s="4" t="s">
        <v>25</v>
      </c>
      <c r="B18" s="4" t="s">
        <v>26</v>
      </c>
    </row>
    <row r="20" spans="1:2" ht="16" x14ac:dyDescent="0.2">
      <c r="A20" s="5" t="s">
        <v>27</v>
      </c>
    </row>
    <row r="21" spans="1:2" x14ac:dyDescent="0.2">
      <c r="A21" s="7" t="s">
        <v>28</v>
      </c>
      <c r="B21" s="8">
        <f>COUNTA('1_สินค้าทั้งหมด'!B3:B40)</f>
        <v>23</v>
      </c>
    </row>
    <row r="22" spans="1:2" x14ac:dyDescent="0.2">
      <c r="A22" s="7" t="s">
        <v>29</v>
      </c>
      <c r="B22" s="8">
        <f>COUNTIF('1_สินค้าทั้งหมด'!L3:L40,"✅*")</f>
        <v>19</v>
      </c>
    </row>
    <row r="23" spans="1:2" x14ac:dyDescent="0.2">
      <c r="A23" s="7" t="s">
        <v>30</v>
      </c>
      <c r="B23" s="8">
        <f>COUNTIF('1_สินค้าทั้งหมด'!L3:L40,"⏳*")</f>
        <v>3</v>
      </c>
    </row>
    <row r="24" spans="1:2" x14ac:dyDescent="0.2">
      <c r="A24" s="7" t="s">
        <v>31</v>
      </c>
      <c r="B24" s="13">
        <f>COUNTIF('1_สินค้าทั้งหมด'!L3:L40,"🚫*")</f>
        <v>1</v>
      </c>
    </row>
    <row r="25" spans="1:2" x14ac:dyDescent="0.2">
      <c r="A25" s="7" t="s">
        <v>32</v>
      </c>
      <c r="B25" s="8">
        <f>COUNTIF('6_คำถามค้าง'!F3:F30,"⏳*")</f>
        <v>8</v>
      </c>
    </row>
    <row r="27" spans="1:2" ht="34" customHeight="1" x14ac:dyDescent="0.2">
      <c r="A27" s="9" t="s">
        <v>33</v>
      </c>
    </row>
    <row r="28" spans="1:2" x14ac:dyDescent="0.2">
      <c r="A28" s="6" t="s">
        <v>34</v>
      </c>
      <c r="B28" s="6" t="s">
        <v>35</v>
      </c>
    </row>
    <row r="29" spans="1:2" ht="28" x14ac:dyDescent="0.2">
      <c r="A29" s="4" t="s">
        <v>36</v>
      </c>
      <c r="B29" s="4" t="s">
        <v>37</v>
      </c>
    </row>
    <row r="30" spans="1:2" ht="28" x14ac:dyDescent="0.2">
      <c r="A30" s="4" t="s">
        <v>38</v>
      </c>
      <c r="B30" s="4" t="s">
        <v>39</v>
      </c>
    </row>
    <row r="31" spans="1:2" x14ac:dyDescent="0.2">
      <c r="A31" s="4" t="s">
        <v>40</v>
      </c>
      <c r="B31" s="4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showGridLines="0" zoomScale="140" zoomScaleNormal="140" workbookViewId="0">
      <pane ySplit="2" topLeftCell="A3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3" width="30" customWidth="1"/>
    <col min="4" max="4" width="26" customWidth="1"/>
    <col min="5" max="5" width="12" customWidth="1"/>
    <col min="6" max="6" width="46" customWidth="1"/>
    <col min="7" max="7" width="34" customWidth="1"/>
    <col min="8" max="8" width="38" customWidth="1"/>
    <col min="9" max="9" width="34" customWidth="1"/>
    <col min="10" max="10" width="24" customWidth="1"/>
    <col min="11" max="11" width="14" customWidth="1"/>
    <col min="12" max="12" width="40" customWidth="1"/>
    <col min="13" max="14" width="30" customWidth="1"/>
  </cols>
  <sheetData>
    <row r="1" spans="1:14" ht="22" customHeight="1" x14ac:dyDescent="0.2">
      <c r="A1" s="1" t="s">
        <v>42</v>
      </c>
    </row>
    <row r="2" spans="1:14" ht="34" customHeight="1" x14ac:dyDescent="0.2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</row>
    <row r="3" spans="1:14" ht="28" x14ac:dyDescent="0.2">
      <c r="A3" s="4">
        <v>1</v>
      </c>
      <c r="B3" s="4" t="s">
        <v>57</v>
      </c>
      <c r="C3" s="4" t="s">
        <v>58</v>
      </c>
      <c r="D3" s="4" t="s">
        <v>59</v>
      </c>
      <c r="E3" s="4">
        <v>2490</v>
      </c>
      <c r="F3" s="4" t="s">
        <v>60</v>
      </c>
      <c r="G3" s="4" t="s">
        <v>61</v>
      </c>
      <c r="H3" s="4" t="s">
        <v>62</v>
      </c>
      <c r="I3" s="4" t="s">
        <v>63</v>
      </c>
      <c r="J3" s="4" t="s">
        <v>64</v>
      </c>
      <c r="K3" s="4" t="s">
        <v>65</v>
      </c>
      <c r="L3" s="4" t="s">
        <v>66</v>
      </c>
      <c r="M3" s="10"/>
      <c r="N3" s="10"/>
    </row>
    <row r="4" spans="1:14" ht="28" x14ac:dyDescent="0.2">
      <c r="A4" s="4">
        <v>2</v>
      </c>
      <c r="B4" s="4" t="s">
        <v>67</v>
      </c>
      <c r="C4" s="4" t="s">
        <v>68</v>
      </c>
      <c r="D4" s="4" t="s">
        <v>59</v>
      </c>
      <c r="E4" s="4">
        <v>1590</v>
      </c>
      <c r="F4" s="4" t="s">
        <v>69</v>
      </c>
      <c r="G4" s="4" t="s">
        <v>70</v>
      </c>
      <c r="H4" s="4" t="s">
        <v>71</v>
      </c>
      <c r="I4" s="4" t="s">
        <v>64</v>
      </c>
      <c r="J4" s="4" t="s">
        <v>64</v>
      </c>
      <c r="K4" s="4" t="s">
        <v>72</v>
      </c>
      <c r="L4" s="4" t="s">
        <v>66</v>
      </c>
      <c r="M4" s="10"/>
      <c r="N4" s="10"/>
    </row>
    <row r="5" spans="1:14" ht="28" x14ac:dyDescent="0.2">
      <c r="A5" s="4">
        <v>3</v>
      </c>
      <c r="B5" s="4" t="s">
        <v>73</v>
      </c>
      <c r="C5" s="4" t="s">
        <v>74</v>
      </c>
      <c r="D5" s="4" t="s">
        <v>59</v>
      </c>
      <c r="E5" s="4">
        <v>1990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64</v>
      </c>
      <c r="K5" s="4" t="s">
        <v>79</v>
      </c>
      <c r="L5" s="4" t="s">
        <v>66</v>
      </c>
      <c r="M5" s="10"/>
      <c r="N5" s="10"/>
    </row>
    <row r="6" spans="1:14" ht="28" x14ac:dyDescent="0.2">
      <c r="A6" s="4">
        <v>4</v>
      </c>
      <c r="B6" s="4" t="s">
        <v>80</v>
      </c>
      <c r="C6" s="4" t="s">
        <v>81</v>
      </c>
      <c r="D6" s="4" t="s">
        <v>59</v>
      </c>
      <c r="E6" s="4">
        <v>1590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64</v>
      </c>
      <c r="K6" s="4" t="s">
        <v>86</v>
      </c>
      <c r="L6" s="4" t="s">
        <v>87</v>
      </c>
      <c r="M6" s="10"/>
      <c r="N6" s="10"/>
    </row>
    <row r="7" spans="1:14" ht="28" x14ac:dyDescent="0.2">
      <c r="A7" s="4">
        <v>5</v>
      </c>
      <c r="B7" s="4" t="s">
        <v>88</v>
      </c>
      <c r="C7" s="4" t="s">
        <v>89</v>
      </c>
      <c r="D7" s="4" t="s">
        <v>90</v>
      </c>
      <c r="E7" s="4">
        <v>1990</v>
      </c>
      <c r="F7" s="4" t="s">
        <v>91</v>
      </c>
      <c r="G7" s="4" t="s">
        <v>64</v>
      </c>
      <c r="H7" s="4" t="s">
        <v>92</v>
      </c>
      <c r="I7" s="4" t="s">
        <v>93</v>
      </c>
      <c r="J7" s="4" t="s">
        <v>64</v>
      </c>
      <c r="K7" s="4" t="s">
        <v>94</v>
      </c>
      <c r="L7" s="4" t="s">
        <v>95</v>
      </c>
      <c r="M7" s="10"/>
      <c r="N7" s="10"/>
    </row>
    <row r="8" spans="1:14" ht="28" x14ac:dyDescent="0.2">
      <c r="A8" s="4">
        <v>6</v>
      </c>
      <c r="B8" s="4" t="s">
        <v>96</v>
      </c>
      <c r="C8" s="4" t="s">
        <v>97</v>
      </c>
      <c r="D8" s="4" t="s">
        <v>90</v>
      </c>
      <c r="E8" s="4">
        <v>1690</v>
      </c>
      <c r="F8" s="4" t="s">
        <v>98</v>
      </c>
      <c r="G8" s="4" t="s">
        <v>99</v>
      </c>
      <c r="H8" s="4" t="s">
        <v>100</v>
      </c>
      <c r="I8" s="4" t="s">
        <v>64</v>
      </c>
      <c r="J8" s="4" t="s">
        <v>101</v>
      </c>
      <c r="K8" s="4" t="s">
        <v>102</v>
      </c>
      <c r="L8" s="4" t="s">
        <v>66</v>
      </c>
      <c r="M8" s="10"/>
      <c r="N8" s="10"/>
    </row>
    <row r="9" spans="1:14" ht="28" x14ac:dyDescent="0.2">
      <c r="A9" s="4">
        <v>7</v>
      </c>
      <c r="B9" s="4" t="s">
        <v>103</v>
      </c>
      <c r="C9" s="4" t="s">
        <v>104</v>
      </c>
      <c r="D9" s="4" t="s">
        <v>90</v>
      </c>
      <c r="E9" s="4">
        <v>1990</v>
      </c>
      <c r="F9" s="4" t="s">
        <v>105</v>
      </c>
      <c r="G9" s="4" t="s">
        <v>106</v>
      </c>
      <c r="H9" s="4" t="s">
        <v>107</v>
      </c>
      <c r="I9" s="4" t="s">
        <v>64</v>
      </c>
      <c r="J9" s="4" t="s">
        <v>108</v>
      </c>
      <c r="K9" s="4" t="s">
        <v>109</v>
      </c>
      <c r="L9" s="4" t="s">
        <v>66</v>
      </c>
      <c r="M9" s="10"/>
      <c r="N9" s="10"/>
    </row>
    <row r="10" spans="1:14" ht="42" x14ac:dyDescent="0.2">
      <c r="A10" s="4">
        <v>8</v>
      </c>
      <c r="B10" s="4" t="s">
        <v>110</v>
      </c>
      <c r="C10" s="4" t="s">
        <v>111</v>
      </c>
      <c r="D10" s="4" t="s">
        <v>90</v>
      </c>
      <c r="E10" s="4">
        <v>1590</v>
      </c>
      <c r="F10" s="4" t="s">
        <v>112</v>
      </c>
      <c r="G10" s="4" t="s">
        <v>113</v>
      </c>
      <c r="H10" s="4" t="s">
        <v>114</v>
      </c>
      <c r="I10" s="4" t="s">
        <v>115</v>
      </c>
      <c r="J10" s="4" t="s">
        <v>64</v>
      </c>
      <c r="K10" s="4" t="s">
        <v>116</v>
      </c>
      <c r="L10" s="4" t="s">
        <v>66</v>
      </c>
      <c r="M10" s="10"/>
      <c r="N10" s="10"/>
    </row>
    <row r="11" spans="1:14" ht="28" x14ac:dyDescent="0.2">
      <c r="A11" s="4">
        <v>9</v>
      </c>
      <c r="B11" s="4" t="s">
        <v>117</v>
      </c>
      <c r="C11" s="4" t="s">
        <v>118</v>
      </c>
      <c r="D11" s="4" t="s">
        <v>119</v>
      </c>
      <c r="E11" s="4" t="s">
        <v>120</v>
      </c>
      <c r="F11" s="4" t="s">
        <v>121</v>
      </c>
      <c r="G11" s="4" t="s">
        <v>122</v>
      </c>
      <c r="H11" s="4" t="s">
        <v>123</v>
      </c>
      <c r="I11" s="4" t="s">
        <v>64</v>
      </c>
      <c r="J11" s="4" t="s">
        <v>64</v>
      </c>
      <c r="K11" s="4" t="s">
        <v>124</v>
      </c>
      <c r="L11" s="4" t="s">
        <v>125</v>
      </c>
      <c r="M11" s="10"/>
      <c r="N11" s="10"/>
    </row>
    <row r="12" spans="1:14" ht="28" x14ac:dyDescent="0.2">
      <c r="A12" s="4">
        <v>10</v>
      </c>
      <c r="B12" s="4" t="s">
        <v>126</v>
      </c>
      <c r="C12" s="4" t="s">
        <v>127</v>
      </c>
      <c r="D12" s="4" t="s">
        <v>119</v>
      </c>
      <c r="E12" s="4">
        <v>600</v>
      </c>
      <c r="F12" s="4" t="s">
        <v>128</v>
      </c>
      <c r="G12" s="4" t="s">
        <v>129</v>
      </c>
      <c r="H12" s="4" t="s">
        <v>130</v>
      </c>
      <c r="I12" s="4" t="s">
        <v>131</v>
      </c>
      <c r="J12" s="4" t="s">
        <v>101</v>
      </c>
      <c r="K12" s="4" t="s">
        <v>132</v>
      </c>
      <c r="L12" s="4" t="s">
        <v>66</v>
      </c>
      <c r="M12" s="10"/>
      <c r="N12" s="10"/>
    </row>
    <row r="13" spans="1:14" ht="28" x14ac:dyDescent="0.2">
      <c r="A13" s="4">
        <v>11</v>
      </c>
      <c r="B13" s="4" t="s">
        <v>133</v>
      </c>
      <c r="C13" s="4" t="s">
        <v>134</v>
      </c>
      <c r="D13" s="4" t="s">
        <v>119</v>
      </c>
      <c r="E13" s="4">
        <v>2376</v>
      </c>
      <c r="F13" s="4" t="s">
        <v>135</v>
      </c>
      <c r="G13" s="4" t="s">
        <v>64</v>
      </c>
      <c r="H13" s="4" t="s">
        <v>136</v>
      </c>
      <c r="I13" s="4" t="s">
        <v>137</v>
      </c>
      <c r="J13" s="4" t="s">
        <v>64</v>
      </c>
      <c r="K13" s="4" t="s">
        <v>138</v>
      </c>
      <c r="L13" s="4" t="s">
        <v>66</v>
      </c>
      <c r="M13" s="10"/>
      <c r="N13" s="10"/>
    </row>
    <row r="14" spans="1:14" x14ac:dyDescent="0.2">
      <c r="A14" s="4">
        <v>12</v>
      </c>
      <c r="B14" s="4" t="s">
        <v>139</v>
      </c>
      <c r="C14" s="4" t="s">
        <v>140</v>
      </c>
      <c r="D14" s="4" t="s">
        <v>119</v>
      </c>
      <c r="E14" s="4">
        <v>550</v>
      </c>
      <c r="F14" s="4" t="s">
        <v>141</v>
      </c>
      <c r="G14" s="4" t="s">
        <v>142</v>
      </c>
      <c r="H14" s="4" t="s">
        <v>143</v>
      </c>
      <c r="I14" s="4" t="s">
        <v>144</v>
      </c>
      <c r="J14" s="4" t="s">
        <v>64</v>
      </c>
      <c r="K14" s="4" t="s">
        <v>145</v>
      </c>
      <c r="L14" s="4" t="s">
        <v>66</v>
      </c>
      <c r="M14" s="10"/>
      <c r="N14" s="10"/>
    </row>
    <row r="15" spans="1:14" x14ac:dyDescent="0.2">
      <c r="A15" s="4">
        <v>13</v>
      </c>
      <c r="B15" s="4" t="s">
        <v>146</v>
      </c>
      <c r="C15" s="4" t="s">
        <v>147</v>
      </c>
      <c r="D15" s="4" t="s">
        <v>119</v>
      </c>
      <c r="E15" s="4">
        <v>450</v>
      </c>
      <c r="F15" s="4" t="s">
        <v>141</v>
      </c>
      <c r="G15" s="4" t="s">
        <v>64</v>
      </c>
      <c r="H15" s="4" t="s">
        <v>148</v>
      </c>
      <c r="I15" s="4" t="s">
        <v>149</v>
      </c>
      <c r="J15" s="4" t="s">
        <v>64</v>
      </c>
      <c r="K15" s="4" t="s">
        <v>150</v>
      </c>
      <c r="L15" s="4" t="s">
        <v>66</v>
      </c>
      <c r="M15" s="10"/>
      <c r="N15" s="10"/>
    </row>
    <row r="16" spans="1:14" ht="28" x14ac:dyDescent="0.2">
      <c r="A16" s="4">
        <v>14</v>
      </c>
      <c r="B16" s="4" t="s">
        <v>151</v>
      </c>
      <c r="C16" s="4" t="s">
        <v>152</v>
      </c>
      <c r="D16" s="4" t="s">
        <v>153</v>
      </c>
      <c r="E16" s="4">
        <v>500</v>
      </c>
      <c r="F16" s="4" t="s">
        <v>154</v>
      </c>
      <c r="G16" s="4" t="s">
        <v>64</v>
      </c>
      <c r="H16" s="4" t="s">
        <v>155</v>
      </c>
      <c r="I16" s="4" t="s">
        <v>156</v>
      </c>
      <c r="J16" s="4" t="s">
        <v>64</v>
      </c>
      <c r="K16" s="4" t="s">
        <v>157</v>
      </c>
      <c r="L16" s="4" t="s">
        <v>66</v>
      </c>
      <c r="M16" s="10"/>
      <c r="N16" s="10"/>
    </row>
    <row r="17" spans="1:14" ht="28" x14ac:dyDescent="0.2">
      <c r="A17" s="4">
        <v>15</v>
      </c>
      <c r="B17" s="4" t="s">
        <v>158</v>
      </c>
      <c r="C17" s="4" t="s">
        <v>159</v>
      </c>
      <c r="D17" s="4" t="s">
        <v>119</v>
      </c>
      <c r="E17" s="4">
        <v>550</v>
      </c>
      <c r="F17" s="4" t="s">
        <v>160</v>
      </c>
      <c r="G17" s="4" t="s">
        <v>161</v>
      </c>
      <c r="H17" s="4" t="s">
        <v>162</v>
      </c>
      <c r="I17" s="4" t="s">
        <v>149</v>
      </c>
      <c r="J17" s="4" t="s">
        <v>64</v>
      </c>
      <c r="K17" s="4" t="s">
        <v>163</v>
      </c>
      <c r="L17" s="4" t="s">
        <v>66</v>
      </c>
      <c r="M17" s="10"/>
      <c r="N17" s="10"/>
    </row>
    <row r="18" spans="1:14" x14ac:dyDescent="0.2">
      <c r="A18" s="4">
        <v>16</v>
      </c>
      <c r="B18" s="4" t="s">
        <v>164</v>
      </c>
      <c r="C18" s="4" t="s">
        <v>165</v>
      </c>
      <c r="D18" s="4" t="s">
        <v>119</v>
      </c>
      <c r="E18" s="4">
        <v>550</v>
      </c>
      <c r="F18" s="4" t="s">
        <v>166</v>
      </c>
      <c r="G18" s="4" t="s">
        <v>167</v>
      </c>
      <c r="H18" s="4" t="s">
        <v>168</v>
      </c>
      <c r="I18" s="4" t="s">
        <v>149</v>
      </c>
      <c r="J18" s="4" t="s">
        <v>101</v>
      </c>
      <c r="K18" s="4" t="s">
        <v>169</v>
      </c>
      <c r="L18" s="4" t="s">
        <v>66</v>
      </c>
      <c r="M18" s="10"/>
      <c r="N18" s="10"/>
    </row>
    <row r="19" spans="1:14" x14ac:dyDescent="0.2">
      <c r="A19" s="4">
        <v>17</v>
      </c>
      <c r="B19" s="4" t="s">
        <v>170</v>
      </c>
      <c r="C19" s="4" t="s">
        <v>171</v>
      </c>
      <c r="D19" s="4" t="s">
        <v>119</v>
      </c>
      <c r="E19" s="4">
        <v>650</v>
      </c>
      <c r="F19" s="4" t="s">
        <v>172</v>
      </c>
      <c r="G19" s="4" t="s">
        <v>64</v>
      </c>
      <c r="H19" s="4" t="s">
        <v>173</v>
      </c>
      <c r="I19" s="4" t="s">
        <v>174</v>
      </c>
      <c r="J19" s="4" t="s">
        <v>64</v>
      </c>
      <c r="K19" s="4" t="s">
        <v>175</v>
      </c>
      <c r="L19" s="4" t="s">
        <v>66</v>
      </c>
      <c r="M19" s="10"/>
      <c r="N19" s="10"/>
    </row>
    <row r="20" spans="1:14" ht="28" x14ac:dyDescent="0.2">
      <c r="A20" s="4">
        <v>18</v>
      </c>
      <c r="B20" s="4" t="s">
        <v>176</v>
      </c>
      <c r="C20" s="4" t="s">
        <v>177</v>
      </c>
      <c r="D20" s="4" t="s">
        <v>119</v>
      </c>
      <c r="E20" s="4">
        <v>1990</v>
      </c>
      <c r="F20" s="4" t="s">
        <v>178</v>
      </c>
      <c r="G20" s="4" t="s">
        <v>179</v>
      </c>
      <c r="H20" s="4" t="s">
        <v>180</v>
      </c>
      <c r="I20" s="4" t="s">
        <v>181</v>
      </c>
      <c r="J20" s="4" t="s">
        <v>64</v>
      </c>
      <c r="K20" s="4" t="s">
        <v>182</v>
      </c>
      <c r="L20" s="4" t="s">
        <v>66</v>
      </c>
      <c r="M20" s="10"/>
      <c r="N20" s="10"/>
    </row>
    <row r="21" spans="1:14" ht="28" x14ac:dyDescent="0.2">
      <c r="A21" s="4">
        <v>19</v>
      </c>
      <c r="B21" s="4" t="s">
        <v>183</v>
      </c>
      <c r="C21" s="4" t="s">
        <v>184</v>
      </c>
      <c r="D21" s="4" t="s">
        <v>119</v>
      </c>
      <c r="E21" s="4">
        <v>250</v>
      </c>
      <c r="F21" s="4" t="s">
        <v>185</v>
      </c>
      <c r="G21" s="4" t="s">
        <v>64</v>
      </c>
      <c r="H21" s="4" t="s">
        <v>186</v>
      </c>
      <c r="I21" s="4" t="s">
        <v>64</v>
      </c>
      <c r="J21" s="4" t="s">
        <v>187</v>
      </c>
      <c r="K21" s="4" t="s">
        <v>188</v>
      </c>
      <c r="L21" s="4" t="s">
        <v>66</v>
      </c>
      <c r="M21" s="10"/>
      <c r="N21" s="10"/>
    </row>
    <row r="22" spans="1:14" ht="28" x14ac:dyDescent="0.2">
      <c r="A22" s="4">
        <v>20</v>
      </c>
      <c r="B22" s="4" t="s">
        <v>189</v>
      </c>
      <c r="C22" s="4" t="s">
        <v>190</v>
      </c>
      <c r="D22" s="4" t="s">
        <v>191</v>
      </c>
      <c r="E22" s="4">
        <v>385</v>
      </c>
      <c r="F22" s="4" t="s">
        <v>192</v>
      </c>
      <c r="G22" s="4" t="s">
        <v>64</v>
      </c>
      <c r="H22" s="4" t="s">
        <v>193</v>
      </c>
      <c r="I22" s="4" t="s">
        <v>194</v>
      </c>
      <c r="J22" s="4" t="s">
        <v>187</v>
      </c>
      <c r="K22" s="4" t="s">
        <v>195</v>
      </c>
      <c r="L22" s="4" t="s">
        <v>66</v>
      </c>
      <c r="M22" s="10"/>
      <c r="N22" s="10"/>
    </row>
    <row r="23" spans="1:14" ht="28" x14ac:dyDescent="0.2">
      <c r="A23" s="4">
        <v>21</v>
      </c>
      <c r="B23" s="4" t="s">
        <v>196</v>
      </c>
      <c r="C23" s="4" t="s">
        <v>197</v>
      </c>
      <c r="D23" s="4" t="s">
        <v>198</v>
      </c>
      <c r="E23" s="4">
        <v>1990</v>
      </c>
      <c r="F23" s="4" t="s">
        <v>199</v>
      </c>
      <c r="G23" s="4" t="s">
        <v>64</v>
      </c>
      <c r="H23" s="4" t="s">
        <v>200</v>
      </c>
      <c r="I23" s="4" t="s">
        <v>64</v>
      </c>
      <c r="J23" s="4" t="s">
        <v>64</v>
      </c>
      <c r="K23" s="4" t="s">
        <v>201</v>
      </c>
      <c r="L23" s="4" t="s">
        <v>202</v>
      </c>
      <c r="M23" s="10"/>
      <c r="N23" s="10"/>
    </row>
    <row r="24" spans="1:14" x14ac:dyDescent="0.2">
      <c r="A24" s="4">
        <v>22</v>
      </c>
      <c r="B24" s="4" t="s">
        <v>203</v>
      </c>
      <c r="C24" s="4" t="s">
        <v>204</v>
      </c>
      <c r="D24" s="4" t="s">
        <v>198</v>
      </c>
      <c r="E24" s="4">
        <v>1980</v>
      </c>
      <c r="F24" s="4" t="s">
        <v>205</v>
      </c>
      <c r="G24" s="4" t="s">
        <v>64</v>
      </c>
      <c r="H24" s="4" t="s">
        <v>206</v>
      </c>
      <c r="I24" s="4" t="s">
        <v>64</v>
      </c>
      <c r="J24" s="4" t="s">
        <v>64</v>
      </c>
      <c r="K24" s="4" t="s">
        <v>201</v>
      </c>
      <c r="L24" s="4" t="s">
        <v>66</v>
      </c>
      <c r="M24" s="10"/>
      <c r="N24" s="10"/>
    </row>
    <row r="25" spans="1:14" ht="28" x14ac:dyDescent="0.2">
      <c r="A25" s="4">
        <v>23</v>
      </c>
      <c r="B25" s="4" t="s">
        <v>207</v>
      </c>
      <c r="C25" s="4" t="s">
        <v>208</v>
      </c>
      <c r="D25" s="4" t="s">
        <v>209</v>
      </c>
      <c r="E25" s="4">
        <v>1990</v>
      </c>
      <c r="F25" s="4" t="s">
        <v>210</v>
      </c>
      <c r="G25" s="4" t="s">
        <v>64</v>
      </c>
      <c r="H25" s="4" t="s">
        <v>211</v>
      </c>
      <c r="I25" s="4" t="s">
        <v>64</v>
      </c>
      <c r="J25" s="4" t="s">
        <v>64</v>
      </c>
      <c r="K25" s="4" t="s">
        <v>212</v>
      </c>
      <c r="L25" s="4" t="s">
        <v>213</v>
      </c>
      <c r="M25" s="10"/>
      <c r="N25" s="10"/>
    </row>
    <row r="27" spans="1:14" x14ac:dyDescent="0.2">
      <c r="A27" s="11" t="s">
        <v>214</v>
      </c>
      <c r="M27" s="2" t="s">
        <v>215</v>
      </c>
      <c r="N27" s="2" t="s">
        <v>216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2ADA-8955-F242-8DEC-91CF1AAE5678}">
  <dimension ref="B2:G20"/>
  <sheetViews>
    <sheetView tabSelected="1" zoomScale="215" workbookViewId="0">
      <selection activeCell="F4" sqref="F4"/>
    </sheetView>
  </sheetViews>
  <sheetFormatPr baseColWidth="10" defaultRowHeight="15" x14ac:dyDescent="0.2"/>
  <cols>
    <col min="3" max="3" width="18" customWidth="1"/>
    <col min="4" max="4" width="29.6640625" customWidth="1"/>
    <col min="5" max="5" width="15.33203125" customWidth="1"/>
    <col min="6" max="6" width="16.33203125" customWidth="1"/>
    <col min="7" max="7" width="12.1640625" customWidth="1"/>
  </cols>
  <sheetData>
    <row r="2" spans="2:7" x14ac:dyDescent="0.2">
      <c r="B2" t="s">
        <v>431</v>
      </c>
      <c r="C2" t="s">
        <v>443</v>
      </c>
      <c r="D2" t="s">
        <v>432</v>
      </c>
      <c r="E2" t="s">
        <v>433</v>
      </c>
      <c r="F2" t="s">
        <v>451</v>
      </c>
      <c r="G2" t="s">
        <v>454</v>
      </c>
    </row>
    <row r="4" spans="2:7" x14ac:dyDescent="0.2">
      <c r="B4" t="s">
        <v>434</v>
      </c>
      <c r="C4" t="s">
        <v>437</v>
      </c>
      <c r="D4" t="s">
        <v>445</v>
      </c>
      <c r="E4" t="s">
        <v>444</v>
      </c>
      <c r="F4" t="s">
        <v>452</v>
      </c>
    </row>
    <row r="5" spans="2:7" x14ac:dyDescent="0.2">
      <c r="B5" t="s">
        <v>434</v>
      </c>
      <c r="C5" t="s">
        <v>437</v>
      </c>
      <c r="D5" t="s">
        <v>446</v>
      </c>
      <c r="E5" t="s">
        <v>450</v>
      </c>
      <c r="F5" t="s">
        <v>453</v>
      </c>
    </row>
    <row r="6" spans="2:7" x14ac:dyDescent="0.2">
      <c r="B6" t="s">
        <v>434</v>
      </c>
      <c r="C6" t="s">
        <v>437</v>
      </c>
      <c r="D6" t="s">
        <v>447</v>
      </c>
      <c r="E6" t="s">
        <v>450</v>
      </c>
    </row>
    <row r="7" spans="2:7" x14ac:dyDescent="0.2">
      <c r="B7" t="s">
        <v>434</v>
      </c>
      <c r="C7" t="s">
        <v>437</v>
      </c>
      <c r="D7" t="s">
        <v>447</v>
      </c>
      <c r="E7" t="s">
        <v>448</v>
      </c>
    </row>
    <row r="8" spans="2:7" x14ac:dyDescent="0.2">
      <c r="B8" t="s">
        <v>434</v>
      </c>
      <c r="C8" t="s">
        <v>437</v>
      </c>
      <c r="D8" t="s">
        <v>447</v>
      </c>
      <c r="E8" t="s">
        <v>449</v>
      </c>
    </row>
    <row r="9" spans="2:7" x14ac:dyDescent="0.2">
      <c r="B9" t="s">
        <v>434</v>
      </c>
      <c r="C9" t="s">
        <v>435</v>
      </c>
    </row>
    <row r="10" spans="2:7" x14ac:dyDescent="0.2">
      <c r="B10" t="s">
        <v>434</v>
      </c>
      <c r="C10" t="s">
        <v>438</v>
      </c>
    </row>
    <row r="11" spans="2:7" x14ac:dyDescent="0.2">
      <c r="B11" t="s">
        <v>434</v>
      </c>
      <c r="C11" t="s">
        <v>439</v>
      </c>
    </row>
    <row r="12" spans="2:7" x14ac:dyDescent="0.2">
      <c r="B12" t="s">
        <v>434</v>
      </c>
      <c r="C12" t="s">
        <v>440</v>
      </c>
      <c r="D12" t="s">
        <v>445</v>
      </c>
      <c r="E12" t="s">
        <v>444</v>
      </c>
      <c r="G12" t="s">
        <v>455</v>
      </c>
    </row>
    <row r="13" spans="2:7" x14ac:dyDescent="0.2">
      <c r="B13" t="s">
        <v>434</v>
      </c>
      <c r="C13" t="s">
        <v>440</v>
      </c>
      <c r="D13" t="s">
        <v>446</v>
      </c>
      <c r="E13" t="s">
        <v>450</v>
      </c>
      <c r="G13" t="s">
        <v>455</v>
      </c>
    </row>
    <row r="14" spans="2:7" x14ac:dyDescent="0.2">
      <c r="B14" t="s">
        <v>434</v>
      </c>
      <c r="C14" t="s">
        <v>440</v>
      </c>
      <c r="D14" t="s">
        <v>447</v>
      </c>
      <c r="E14" t="s">
        <v>450</v>
      </c>
      <c r="G14" t="s">
        <v>455</v>
      </c>
    </row>
    <row r="15" spans="2:7" x14ac:dyDescent="0.2">
      <c r="B15" t="s">
        <v>434</v>
      </c>
      <c r="C15" t="s">
        <v>440</v>
      </c>
      <c r="D15" t="s">
        <v>447</v>
      </c>
      <c r="E15" t="s">
        <v>448</v>
      </c>
      <c r="G15" t="s">
        <v>455</v>
      </c>
    </row>
    <row r="16" spans="2:7" x14ac:dyDescent="0.2">
      <c r="B16" t="s">
        <v>434</v>
      </c>
      <c r="C16" t="s">
        <v>440</v>
      </c>
      <c r="D16" t="s">
        <v>447</v>
      </c>
      <c r="E16" t="s">
        <v>449</v>
      </c>
      <c r="G16" t="s">
        <v>455</v>
      </c>
    </row>
    <row r="17" spans="2:3" x14ac:dyDescent="0.2">
      <c r="B17" t="s">
        <v>434</v>
      </c>
      <c r="C17" t="s">
        <v>436</v>
      </c>
    </row>
    <row r="18" spans="2:3" x14ac:dyDescent="0.2">
      <c r="B18" t="s">
        <v>434</v>
      </c>
      <c r="C18" t="s">
        <v>441</v>
      </c>
    </row>
    <row r="19" spans="2:3" x14ac:dyDescent="0.2">
      <c r="B19" t="s">
        <v>442</v>
      </c>
      <c r="C19" t="s">
        <v>444</v>
      </c>
    </row>
    <row r="20" spans="2:3" x14ac:dyDescent="0.2">
      <c r="B20" t="s">
        <v>253</v>
      </c>
      <c r="C20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="167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3" width="22" customWidth="1"/>
    <col min="4" max="4" width="52" customWidth="1"/>
    <col min="5" max="5" width="20" customWidth="1"/>
    <col min="6" max="6" width="46" customWidth="1"/>
    <col min="7" max="8" width="28" customWidth="1"/>
  </cols>
  <sheetData>
    <row r="1" spans="1:8" ht="22" customHeight="1" x14ac:dyDescent="0.2">
      <c r="A1" s="1" t="s">
        <v>217</v>
      </c>
    </row>
    <row r="2" spans="1:8" ht="34" customHeight="1" x14ac:dyDescent="0.2">
      <c r="A2" s="3" t="s">
        <v>218</v>
      </c>
      <c r="B2" s="3" t="s">
        <v>219</v>
      </c>
      <c r="C2" s="3" t="s">
        <v>220</v>
      </c>
      <c r="D2" s="3" t="s">
        <v>221</v>
      </c>
      <c r="E2" s="3" t="s">
        <v>222</v>
      </c>
      <c r="F2" s="3" t="s">
        <v>223</v>
      </c>
      <c r="G2" s="3" t="s">
        <v>55</v>
      </c>
      <c r="H2" s="3" t="s">
        <v>56</v>
      </c>
    </row>
    <row r="3" spans="1:8" x14ac:dyDescent="0.2">
      <c r="A3" s="4" t="s">
        <v>224</v>
      </c>
      <c r="B3" s="4" t="s">
        <v>225</v>
      </c>
      <c r="C3" s="4" t="s">
        <v>226</v>
      </c>
      <c r="D3" s="4" t="s">
        <v>227</v>
      </c>
      <c r="E3" s="4" t="s">
        <v>228</v>
      </c>
      <c r="F3" s="4" t="s">
        <v>64</v>
      </c>
      <c r="G3" s="10"/>
      <c r="H3" s="10"/>
    </row>
    <row r="4" spans="1:8" ht="28" x14ac:dyDescent="0.2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228</v>
      </c>
      <c r="F4" s="4" t="s">
        <v>233</v>
      </c>
      <c r="G4" s="10"/>
      <c r="H4" s="10"/>
    </row>
    <row r="5" spans="1:8" ht="28" x14ac:dyDescent="0.2">
      <c r="A5" s="4" t="s">
        <v>234</v>
      </c>
      <c r="B5" s="4" t="s">
        <v>235</v>
      </c>
      <c r="C5" s="4" t="s">
        <v>236</v>
      </c>
      <c r="D5" s="4" t="s">
        <v>237</v>
      </c>
      <c r="E5" s="4" t="s">
        <v>228</v>
      </c>
      <c r="F5" s="4" t="s">
        <v>238</v>
      </c>
      <c r="G5" s="10"/>
      <c r="H5" s="10"/>
    </row>
    <row r="6" spans="1:8" x14ac:dyDescent="0.2">
      <c r="A6" s="4" t="s">
        <v>224</v>
      </c>
      <c r="B6" s="4" t="s">
        <v>64</v>
      </c>
      <c r="C6" s="4" t="s">
        <v>239</v>
      </c>
      <c r="D6" s="4" t="s">
        <v>240</v>
      </c>
      <c r="E6" s="4" t="s">
        <v>228</v>
      </c>
      <c r="F6" s="4" t="s">
        <v>64</v>
      </c>
      <c r="G6" s="10"/>
      <c r="H6" s="10"/>
    </row>
    <row r="7" spans="1:8" ht="42" x14ac:dyDescent="0.2">
      <c r="A7" s="4" t="s">
        <v>224</v>
      </c>
      <c r="B7" s="4" t="s">
        <v>64</v>
      </c>
      <c r="C7" s="4" t="s">
        <v>241</v>
      </c>
      <c r="D7" s="4" t="s">
        <v>242</v>
      </c>
      <c r="E7" s="4" t="s">
        <v>243</v>
      </c>
      <c r="F7" s="4" t="s">
        <v>244</v>
      </c>
      <c r="G7" s="10"/>
      <c r="H7" s="10"/>
    </row>
    <row r="8" spans="1:8" x14ac:dyDescent="0.2">
      <c r="A8" s="4" t="s">
        <v>224</v>
      </c>
      <c r="B8" s="4" t="s">
        <v>64</v>
      </c>
      <c r="C8" s="4" t="s">
        <v>191</v>
      </c>
      <c r="D8" s="4" t="s">
        <v>245</v>
      </c>
      <c r="E8" s="4" t="s">
        <v>243</v>
      </c>
      <c r="F8" s="4" t="s">
        <v>246</v>
      </c>
      <c r="G8" s="10"/>
      <c r="H8" s="10"/>
    </row>
    <row r="9" spans="1:8" ht="28" x14ac:dyDescent="0.2">
      <c r="A9" s="4" t="s">
        <v>247</v>
      </c>
      <c r="B9" s="4" t="s">
        <v>248</v>
      </c>
      <c r="C9" s="4" t="s">
        <v>249</v>
      </c>
      <c r="D9" s="4" t="s">
        <v>250</v>
      </c>
      <c r="E9" s="4" t="s">
        <v>251</v>
      </c>
      <c r="F9" s="4" t="s">
        <v>252</v>
      </c>
      <c r="G9" s="10"/>
      <c r="H9" s="10"/>
    </row>
    <row r="10" spans="1:8" x14ac:dyDescent="0.2">
      <c r="A10" s="4" t="s">
        <v>253</v>
      </c>
      <c r="B10" s="4" t="s">
        <v>254</v>
      </c>
      <c r="C10" s="4" t="s">
        <v>249</v>
      </c>
      <c r="D10" s="4" t="s">
        <v>255</v>
      </c>
      <c r="E10" s="4" t="s">
        <v>251</v>
      </c>
      <c r="F10" s="4" t="s">
        <v>252</v>
      </c>
      <c r="G10" s="10"/>
      <c r="H10" s="10"/>
    </row>
    <row r="11" spans="1:8" x14ac:dyDescent="0.2">
      <c r="A11" s="4" t="s">
        <v>256</v>
      </c>
      <c r="B11" s="4" t="s">
        <v>257</v>
      </c>
      <c r="C11" s="4" t="s">
        <v>258</v>
      </c>
      <c r="D11" s="4" t="s">
        <v>259</v>
      </c>
      <c r="E11" s="4" t="s">
        <v>228</v>
      </c>
      <c r="F11" s="4" t="s">
        <v>260</v>
      </c>
      <c r="G11" s="10"/>
      <c r="H11" s="10"/>
    </row>
    <row r="13" spans="1:8" x14ac:dyDescent="0.2">
      <c r="A13" s="12" t="s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zoomScale="164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52" customWidth="1"/>
    <col min="3" max="3" width="56" customWidth="1"/>
    <col min="4" max="4" width="22" customWidth="1"/>
    <col min="5" max="5" width="26" customWidth="1"/>
    <col min="6" max="6" width="30" customWidth="1"/>
  </cols>
  <sheetData>
    <row r="1" spans="1:6" ht="22" customHeight="1" x14ac:dyDescent="0.2">
      <c r="A1" s="1" t="s">
        <v>262</v>
      </c>
    </row>
    <row r="2" spans="1:6" ht="34" customHeight="1" x14ac:dyDescent="0.2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</row>
    <row r="3" spans="1:6" ht="28" x14ac:dyDescent="0.2">
      <c r="A3" s="4" t="s">
        <v>269</v>
      </c>
      <c r="B3" s="4" t="s">
        <v>270</v>
      </c>
      <c r="C3" s="4" t="s">
        <v>271</v>
      </c>
      <c r="D3" s="4" t="s">
        <v>272</v>
      </c>
      <c r="E3" s="10"/>
      <c r="F3" s="10"/>
    </row>
    <row r="4" spans="1:6" ht="42" x14ac:dyDescent="0.2">
      <c r="A4" s="4" t="s">
        <v>273</v>
      </c>
      <c r="B4" s="4" t="s">
        <v>274</v>
      </c>
      <c r="C4" s="4" t="s">
        <v>275</v>
      </c>
      <c r="D4" s="4" t="s">
        <v>272</v>
      </c>
      <c r="E4" s="10"/>
      <c r="F4" s="10"/>
    </row>
    <row r="5" spans="1:6" ht="28" x14ac:dyDescent="0.2">
      <c r="A5" s="4" t="s">
        <v>247</v>
      </c>
      <c r="B5" s="4" t="s">
        <v>250</v>
      </c>
      <c r="C5" s="4" t="s">
        <v>276</v>
      </c>
      <c r="D5" s="4" t="s">
        <v>272</v>
      </c>
      <c r="E5" s="10"/>
      <c r="F5" s="10"/>
    </row>
    <row r="6" spans="1:6" x14ac:dyDescent="0.2">
      <c r="A6" s="4" t="s">
        <v>253</v>
      </c>
      <c r="B6" s="4" t="s">
        <v>255</v>
      </c>
      <c r="C6" s="4" t="s">
        <v>277</v>
      </c>
      <c r="D6" s="4" t="s">
        <v>272</v>
      </c>
      <c r="E6" s="10"/>
      <c r="F6" s="10"/>
    </row>
    <row r="7" spans="1:6" ht="28" x14ac:dyDescent="0.2">
      <c r="A7" s="4" t="s">
        <v>278</v>
      </c>
      <c r="B7" s="4" t="s">
        <v>279</v>
      </c>
      <c r="C7" s="4" t="s">
        <v>280</v>
      </c>
      <c r="D7" s="4" t="s">
        <v>272</v>
      </c>
      <c r="E7" s="10"/>
      <c r="F7" s="10"/>
    </row>
    <row r="8" spans="1:6" x14ac:dyDescent="0.2">
      <c r="A8" s="4" t="s">
        <v>281</v>
      </c>
      <c r="B8" s="4" t="s">
        <v>282</v>
      </c>
      <c r="C8" s="4" t="s">
        <v>283</v>
      </c>
      <c r="D8" s="4" t="s">
        <v>272</v>
      </c>
      <c r="E8" s="10"/>
      <c r="F8" s="10"/>
    </row>
    <row r="9" spans="1:6" x14ac:dyDescent="0.2">
      <c r="A9" s="4" t="s">
        <v>284</v>
      </c>
      <c r="B9" s="4" t="s">
        <v>285</v>
      </c>
      <c r="C9" s="4" t="s">
        <v>283</v>
      </c>
      <c r="D9" s="4" t="s">
        <v>272</v>
      </c>
      <c r="E9" s="10"/>
      <c r="F9" s="10"/>
    </row>
    <row r="10" spans="1:6" ht="28" x14ac:dyDescent="0.2">
      <c r="A10" s="4" t="s">
        <v>286</v>
      </c>
      <c r="B10" s="4" t="s">
        <v>287</v>
      </c>
      <c r="C10" s="4" t="s">
        <v>288</v>
      </c>
      <c r="D10" s="4" t="s">
        <v>289</v>
      </c>
      <c r="E10" s="10"/>
      <c r="F10" s="10"/>
    </row>
    <row r="12" spans="1:6" ht="34" customHeight="1" x14ac:dyDescent="0.2">
      <c r="A12" s="14" t="s">
        <v>290</v>
      </c>
      <c r="B12" s="15"/>
      <c r="C12" s="15"/>
      <c r="D12" s="15"/>
      <c r="E12" s="15"/>
      <c r="F12" s="15"/>
    </row>
  </sheetData>
  <mergeCells count="1"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workbookViewId="0">
      <pane ySplit="13" topLeftCell="A14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86" customWidth="1"/>
    <col min="3" max="3" width="34" customWidth="1"/>
    <col min="4" max="4" width="20" customWidth="1"/>
    <col min="5" max="6" width="34" customWidth="1"/>
  </cols>
  <sheetData>
    <row r="1" spans="1:6" ht="22" customHeight="1" x14ac:dyDescent="0.2">
      <c r="A1" s="1" t="s">
        <v>291</v>
      </c>
    </row>
    <row r="2" spans="1:6" ht="34" customHeight="1" x14ac:dyDescent="0.2">
      <c r="A2" s="3" t="s">
        <v>292</v>
      </c>
      <c r="B2" s="3" t="s">
        <v>293</v>
      </c>
      <c r="C2" s="3" t="s">
        <v>34</v>
      </c>
      <c r="D2" s="3" t="s">
        <v>294</v>
      </c>
      <c r="E2" s="3" t="s">
        <v>295</v>
      </c>
      <c r="F2" s="3" t="s">
        <v>296</v>
      </c>
    </row>
    <row r="3" spans="1:6" ht="112" x14ac:dyDescent="0.2">
      <c r="A3" s="4" t="s">
        <v>297</v>
      </c>
      <c r="B3" s="4" t="s">
        <v>298</v>
      </c>
      <c r="C3" s="4" t="s">
        <v>299</v>
      </c>
      <c r="D3" s="4" t="s">
        <v>300</v>
      </c>
      <c r="E3" s="10"/>
      <c r="F3" s="10"/>
    </row>
    <row r="4" spans="1:6" ht="140" x14ac:dyDescent="0.2">
      <c r="A4" s="4" t="s">
        <v>297</v>
      </c>
      <c r="B4" s="4" t="s">
        <v>301</v>
      </c>
      <c r="C4" s="4" t="s">
        <v>302</v>
      </c>
      <c r="D4" s="4" t="s">
        <v>303</v>
      </c>
      <c r="E4" s="10"/>
      <c r="F4" s="10"/>
    </row>
    <row r="5" spans="1:6" ht="140" x14ac:dyDescent="0.2">
      <c r="A5" s="4" t="s">
        <v>297</v>
      </c>
      <c r="B5" s="4" t="s">
        <v>304</v>
      </c>
      <c r="C5" s="4" t="s">
        <v>305</v>
      </c>
      <c r="D5" s="4" t="s">
        <v>306</v>
      </c>
      <c r="E5" s="10"/>
      <c r="F5" s="10"/>
    </row>
    <row r="6" spans="1:6" ht="112" x14ac:dyDescent="0.2">
      <c r="A6" s="4" t="s">
        <v>307</v>
      </c>
      <c r="B6" s="4" t="s">
        <v>298</v>
      </c>
      <c r="C6" s="4" t="s">
        <v>308</v>
      </c>
      <c r="D6" s="4" t="s">
        <v>309</v>
      </c>
      <c r="E6" s="10"/>
      <c r="F6" s="10"/>
    </row>
    <row r="7" spans="1:6" ht="42" x14ac:dyDescent="0.2">
      <c r="A7" s="4" t="s">
        <v>307</v>
      </c>
      <c r="B7" s="4" t="s">
        <v>304</v>
      </c>
      <c r="C7" s="4" t="s">
        <v>310</v>
      </c>
      <c r="D7" s="4" t="s">
        <v>311</v>
      </c>
      <c r="E7" s="10"/>
      <c r="F7" s="10"/>
    </row>
    <row r="8" spans="1:6" ht="98" x14ac:dyDescent="0.2">
      <c r="A8" s="4" t="s">
        <v>256</v>
      </c>
      <c r="B8" s="4" t="s">
        <v>298</v>
      </c>
      <c r="C8" s="4" t="s">
        <v>312</v>
      </c>
      <c r="D8" s="4" t="s">
        <v>313</v>
      </c>
      <c r="E8" s="10"/>
      <c r="F8" s="10"/>
    </row>
    <row r="9" spans="1:6" ht="84" x14ac:dyDescent="0.2">
      <c r="A9" s="4" t="s">
        <v>256</v>
      </c>
      <c r="B9" s="4" t="s">
        <v>301</v>
      </c>
      <c r="C9" s="4" t="s">
        <v>314</v>
      </c>
      <c r="D9" s="4" t="s">
        <v>315</v>
      </c>
      <c r="E9" s="10"/>
      <c r="F9" s="10"/>
    </row>
    <row r="10" spans="1:6" ht="56" x14ac:dyDescent="0.2">
      <c r="A10" s="4" t="s">
        <v>256</v>
      </c>
      <c r="B10" s="4" t="s">
        <v>304</v>
      </c>
      <c r="C10" s="4" t="s">
        <v>316</v>
      </c>
      <c r="D10" s="4" t="s">
        <v>317</v>
      </c>
      <c r="E10" s="10"/>
      <c r="F10" s="10"/>
    </row>
    <row r="12" spans="1:6" ht="16" x14ac:dyDescent="0.2">
      <c r="A12" s="5" t="s">
        <v>318</v>
      </c>
    </row>
    <row r="13" spans="1:6" ht="34" customHeight="1" x14ac:dyDescent="0.2">
      <c r="A13" s="6" t="s">
        <v>34</v>
      </c>
      <c r="B13" s="6" t="s">
        <v>319</v>
      </c>
      <c r="C13" s="6" t="s">
        <v>320</v>
      </c>
      <c r="D13" s="6" t="s">
        <v>295</v>
      </c>
      <c r="E13" s="6" t="s">
        <v>296</v>
      </c>
    </row>
    <row r="14" spans="1:6" ht="42" x14ac:dyDescent="0.2">
      <c r="A14" s="4" t="s">
        <v>321</v>
      </c>
      <c r="B14" s="4" t="s">
        <v>322</v>
      </c>
      <c r="C14" s="4" t="s">
        <v>323</v>
      </c>
      <c r="D14" s="10"/>
      <c r="E14" s="10"/>
    </row>
    <row r="15" spans="1:6" ht="42" x14ac:dyDescent="0.2">
      <c r="A15" s="4" t="s">
        <v>324</v>
      </c>
      <c r="B15" s="4" t="s">
        <v>325</v>
      </c>
      <c r="C15" s="4" t="s">
        <v>326</v>
      </c>
      <c r="D15" s="10"/>
      <c r="E15" s="10"/>
    </row>
    <row r="16" spans="1:6" x14ac:dyDescent="0.2">
      <c r="A16" s="4" t="s">
        <v>327</v>
      </c>
      <c r="B16" s="4" t="s">
        <v>328</v>
      </c>
      <c r="C16" s="4" t="s">
        <v>329</v>
      </c>
      <c r="D16" s="10"/>
      <c r="E16" s="10"/>
    </row>
    <row r="17" spans="1:5" ht="56" x14ac:dyDescent="0.2">
      <c r="A17" s="4" t="s">
        <v>330</v>
      </c>
      <c r="B17" s="4" t="s">
        <v>331</v>
      </c>
      <c r="C17" s="4" t="s">
        <v>332</v>
      </c>
      <c r="D17" s="10"/>
      <c r="E17" s="1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74" customWidth="1"/>
    <col min="3" max="3" width="32" customWidth="1"/>
    <col min="4" max="4" width="44" customWidth="1"/>
    <col min="5" max="5" width="24" customWidth="1"/>
    <col min="6" max="6" width="22" customWidth="1"/>
    <col min="7" max="7" width="32" customWidth="1"/>
  </cols>
  <sheetData>
    <row r="1" spans="1:7" ht="22" customHeight="1" x14ac:dyDescent="0.2">
      <c r="A1" s="1" t="s">
        <v>333</v>
      </c>
    </row>
    <row r="2" spans="1:7" ht="34" customHeight="1" x14ac:dyDescent="0.2">
      <c r="A2" s="3" t="s">
        <v>334</v>
      </c>
      <c r="B2" s="3" t="s">
        <v>335</v>
      </c>
      <c r="C2" s="3" t="s">
        <v>336</v>
      </c>
      <c r="D2" s="3" t="s">
        <v>320</v>
      </c>
      <c r="E2" s="3" t="s">
        <v>54</v>
      </c>
      <c r="F2" s="3" t="s">
        <v>295</v>
      </c>
      <c r="G2" s="3" t="s">
        <v>296</v>
      </c>
    </row>
    <row r="3" spans="1:7" x14ac:dyDescent="0.2">
      <c r="A3" s="4" t="s">
        <v>337</v>
      </c>
      <c r="B3" s="4" t="s">
        <v>338</v>
      </c>
      <c r="C3" s="4" t="s">
        <v>339</v>
      </c>
      <c r="D3" s="4" t="s">
        <v>340</v>
      </c>
      <c r="E3" s="4" t="s">
        <v>341</v>
      </c>
      <c r="F3" s="10"/>
      <c r="G3" s="10"/>
    </row>
    <row r="4" spans="1:7" x14ac:dyDescent="0.2">
      <c r="A4" s="4" t="s">
        <v>337</v>
      </c>
      <c r="B4" s="4" t="s">
        <v>342</v>
      </c>
      <c r="C4" s="4" t="s">
        <v>343</v>
      </c>
      <c r="D4" s="4" t="s">
        <v>344</v>
      </c>
      <c r="E4" s="4" t="s">
        <v>341</v>
      </c>
      <c r="F4" s="10"/>
      <c r="G4" s="10"/>
    </row>
    <row r="5" spans="1:7" x14ac:dyDescent="0.2">
      <c r="A5" s="4" t="s">
        <v>337</v>
      </c>
      <c r="B5" s="4" t="s">
        <v>345</v>
      </c>
      <c r="C5" s="4" t="s">
        <v>346</v>
      </c>
      <c r="D5" s="4" t="s">
        <v>347</v>
      </c>
      <c r="E5" s="4" t="s">
        <v>348</v>
      </c>
      <c r="F5" s="10"/>
      <c r="G5" s="10"/>
    </row>
    <row r="6" spans="1:7" x14ac:dyDescent="0.2">
      <c r="A6" s="4" t="s">
        <v>337</v>
      </c>
      <c r="B6" s="4" t="s">
        <v>349</v>
      </c>
      <c r="C6" s="4" t="s">
        <v>64</v>
      </c>
      <c r="D6" s="4" t="s">
        <v>350</v>
      </c>
      <c r="E6" s="4" t="s">
        <v>351</v>
      </c>
      <c r="F6" s="10"/>
      <c r="G6" s="10"/>
    </row>
    <row r="7" spans="1:7" ht="28" x14ac:dyDescent="0.2">
      <c r="A7" s="4" t="s">
        <v>352</v>
      </c>
      <c r="B7" s="4" t="s">
        <v>353</v>
      </c>
      <c r="C7" s="4" t="s">
        <v>354</v>
      </c>
      <c r="D7" s="4" t="s">
        <v>355</v>
      </c>
      <c r="E7" s="4" t="s">
        <v>356</v>
      </c>
      <c r="F7" s="10"/>
      <c r="G7" s="10"/>
    </row>
    <row r="8" spans="1:7" x14ac:dyDescent="0.2">
      <c r="A8" s="4" t="s">
        <v>352</v>
      </c>
      <c r="B8" s="4" t="s">
        <v>357</v>
      </c>
      <c r="C8" s="4" t="s">
        <v>64</v>
      </c>
      <c r="D8" s="4" t="s">
        <v>358</v>
      </c>
      <c r="E8" s="4" t="s">
        <v>348</v>
      </c>
      <c r="F8" s="10"/>
      <c r="G8" s="10"/>
    </row>
    <row r="9" spans="1:7" x14ac:dyDescent="0.2">
      <c r="A9" s="4" t="s">
        <v>352</v>
      </c>
      <c r="B9" s="4" t="s">
        <v>359</v>
      </c>
      <c r="C9" s="4" t="s">
        <v>64</v>
      </c>
      <c r="D9" s="4" t="s">
        <v>360</v>
      </c>
      <c r="E9" s="4" t="s">
        <v>341</v>
      </c>
      <c r="F9" s="10"/>
      <c r="G9" s="10"/>
    </row>
    <row r="10" spans="1:7" x14ac:dyDescent="0.2">
      <c r="A10" s="4" t="s">
        <v>352</v>
      </c>
      <c r="B10" s="4" t="s">
        <v>361</v>
      </c>
      <c r="C10" s="4" t="s">
        <v>362</v>
      </c>
      <c r="D10" s="4" t="s">
        <v>347</v>
      </c>
      <c r="E10" s="4" t="s">
        <v>348</v>
      </c>
      <c r="F10" s="10"/>
      <c r="G10" s="10"/>
    </row>
    <row r="11" spans="1:7" ht="28" x14ac:dyDescent="0.2">
      <c r="A11" s="4" t="s">
        <v>363</v>
      </c>
      <c r="B11" s="4" t="s">
        <v>364</v>
      </c>
      <c r="C11" s="4" t="s">
        <v>365</v>
      </c>
      <c r="D11" s="4" t="s">
        <v>366</v>
      </c>
      <c r="E11" s="4" t="s">
        <v>367</v>
      </c>
      <c r="F11" s="10"/>
      <c r="G11" s="10"/>
    </row>
    <row r="12" spans="1:7" ht="28" x14ac:dyDescent="0.2">
      <c r="A12" s="4" t="s">
        <v>363</v>
      </c>
      <c r="B12" s="4" t="s">
        <v>368</v>
      </c>
      <c r="C12" s="4" t="s">
        <v>64</v>
      </c>
      <c r="D12" s="4" t="s">
        <v>369</v>
      </c>
      <c r="E12" s="4" t="s">
        <v>367</v>
      </c>
      <c r="F12" s="10"/>
      <c r="G12" s="10"/>
    </row>
    <row r="13" spans="1:7" x14ac:dyDescent="0.2">
      <c r="A13" s="4" t="s">
        <v>363</v>
      </c>
      <c r="B13" s="4" t="s">
        <v>370</v>
      </c>
      <c r="C13" s="4" t="s">
        <v>371</v>
      </c>
      <c r="D13" s="4" t="s">
        <v>347</v>
      </c>
      <c r="E13" s="4" t="s">
        <v>348</v>
      </c>
      <c r="F13" s="10"/>
      <c r="G13" s="10"/>
    </row>
    <row r="14" spans="1:7" x14ac:dyDescent="0.2">
      <c r="A14" s="4" t="s">
        <v>372</v>
      </c>
      <c r="B14" s="4" t="s">
        <v>373</v>
      </c>
      <c r="C14" s="4" t="s">
        <v>374</v>
      </c>
      <c r="D14" s="4" t="s">
        <v>375</v>
      </c>
      <c r="E14" s="4" t="s">
        <v>341</v>
      </c>
      <c r="F14" s="10"/>
      <c r="G14" s="10"/>
    </row>
    <row r="15" spans="1:7" x14ac:dyDescent="0.2">
      <c r="A15" s="4" t="s">
        <v>372</v>
      </c>
      <c r="B15" s="4" t="s">
        <v>376</v>
      </c>
      <c r="C15" s="4" t="s">
        <v>64</v>
      </c>
      <c r="D15" s="4" t="s">
        <v>377</v>
      </c>
      <c r="E15" s="4" t="s">
        <v>378</v>
      </c>
      <c r="F15" s="10"/>
      <c r="G15" s="10"/>
    </row>
    <row r="16" spans="1:7" x14ac:dyDescent="0.2">
      <c r="A16" s="4" t="s">
        <v>36</v>
      </c>
      <c r="B16" s="4" t="s">
        <v>379</v>
      </c>
      <c r="C16" s="4" t="s">
        <v>380</v>
      </c>
      <c r="D16" s="4" t="s">
        <v>381</v>
      </c>
      <c r="E16" s="4" t="s">
        <v>382</v>
      </c>
      <c r="F16" s="10"/>
      <c r="G16" s="10"/>
    </row>
    <row r="17" spans="1:7" x14ac:dyDescent="0.2">
      <c r="A17" s="4" t="s">
        <v>36</v>
      </c>
      <c r="B17" s="4" t="s">
        <v>383</v>
      </c>
      <c r="C17" s="4" t="s">
        <v>64</v>
      </c>
      <c r="D17" s="4" t="s">
        <v>381</v>
      </c>
      <c r="E17" s="4" t="s">
        <v>382</v>
      </c>
      <c r="F17" s="10"/>
      <c r="G17" s="10"/>
    </row>
    <row r="18" spans="1:7" x14ac:dyDescent="0.2">
      <c r="A18" s="4" t="s">
        <v>36</v>
      </c>
      <c r="B18" s="4" t="s">
        <v>384</v>
      </c>
      <c r="C18" s="4" t="s">
        <v>64</v>
      </c>
      <c r="D18" s="4" t="s">
        <v>381</v>
      </c>
      <c r="E18" s="4" t="s">
        <v>382</v>
      </c>
      <c r="F18" s="10"/>
      <c r="G18" s="10"/>
    </row>
    <row r="19" spans="1:7" ht="28" x14ac:dyDescent="0.2">
      <c r="A19" s="4" t="s">
        <v>36</v>
      </c>
      <c r="B19" s="4" t="s">
        <v>385</v>
      </c>
      <c r="C19" s="4" t="s">
        <v>386</v>
      </c>
      <c r="D19" s="4" t="s">
        <v>387</v>
      </c>
      <c r="E19" s="4" t="s">
        <v>382</v>
      </c>
      <c r="F19" s="10"/>
      <c r="G19" s="10"/>
    </row>
    <row r="20" spans="1:7" x14ac:dyDescent="0.2">
      <c r="A20" s="4" t="s">
        <v>36</v>
      </c>
      <c r="B20" s="4" t="s">
        <v>388</v>
      </c>
      <c r="C20" s="4" t="s">
        <v>64</v>
      </c>
      <c r="D20" s="4" t="s">
        <v>389</v>
      </c>
      <c r="E20" s="4" t="s">
        <v>390</v>
      </c>
      <c r="F20" s="10"/>
      <c r="G20" s="10"/>
    </row>
    <row r="22" spans="1:7" ht="34" customHeight="1" x14ac:dyDescent="0.2">
      <c r="A22" s="16" t="s">
        <v>391</v>
      </c>
      <c r="B22" s="15"/>
      <c r="C22" s="15"/>
      <c r="D22" s="15"/>
      <c r="E22" s="15"/>
      <c r="F22" s="15"/>
      <c r="G22" s="15"/>
    </row>
  </sheetData>
  <mergeCells count="1">
    <mergeCell ref="A22:G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40" customWidth="1"/>
    <col min="3" max="3" width="52" customWidth="1"/>
    <col min="4" max="4" width="66" customWidth="1"/>
    <col min="5" max="5" width="26" customWidth="1"/>
    <col min="6" max="6" width="14" customWidth="1"/>
    <col min="7" max="7" width="46" customWidth="1"/>
  </cols>
  <sheetData>
    <row r="1" spans="1:7" ht="22" customHeight="1" x14ac:dyDescent="0.2">
      <c r="A1" s="1" t="s">
        <v>392</v>
      </c>
    </row>
    <row r="2" spans="1:7" ht="34" customHeight="1" x14ac:dyDescent="0.2">
      <c r="A2" s="6" t="s">
        <v>43</v>
      </c>
      <c r="B2" s="6" t="s">
        <v>393</v>
      </c>
      <c r="C2" s="6" t="s">
        <v>394</v>
      </c>
      <c r="D2" s="6" t="s">
        <v>395</v>
      </c>
      <c r="E2" s="6" t="s">
        <v>396</v>
      </c>
      <c r="F2" s="6" t="s">
        <v>54</v>
      </c>
      <c r="G2" s="6" t="s">
        <v>397</v>
      </c>
    </row>
    <row r="3" spans="1:7" x14ac:dyDescent="0.2">
      <c r="A3" s="4">
        <v>1</v>
      </c>
      <c r="B3" s="4" t="s">
        <v>398</v>
      </c>
      <c r="C3" s="4" t="s">
        <v>399</v>
      </c>
      <c r="D3" s="4" t="s">
        <v>400</v>
      </c>
      <c r="E3" s="4" t="s">
        <v>401</v>
      </c>
      <c r="F3" s="4" t="s">
        <v>402</v>
      </c>
      <c r="G3" s="10"/>
    </row>
    <row r="4" spans="1:7" ht="28" x14ac:dyDescent="0.2">
      <c r="A4" s="4">
        <v>2</v>
      </c>
      <c r="B4" s="4" t="s">
        <v>403</v>
      </c>
      <c r="C4" s="4" t="s">
        <v>404</v>
      </c>
      <c r="D4" s="4" t="s">
        <v>405</v>
      </c>
      <c r="E4" s="4" t="s">
        <v>406</v>
      </c>
      <c r="F4" s="4" t="s">
        <v>402</v>
      </c>
      <c r="G4" s="10"/>
    </row>
    <row r="5" spans="1:7" x14ac:dyDescent="0.2">
      <c r="A5" s="4">
        <v>3</v>
      </c>
      <c r="B5" s="4" t="s">
        <v>407</v>
      </c>
      <c r="C5" s="4" t="s">
        <v>408</v>
      </c>
      <c r="D5" s="4" t="s">
        <v>409</v>
      </c>
      <c r="E5" s="4" t="s">
        <v>410</v>
      </c>
      <c r="F5" s="4" t="s">
        <v>402</v>
      </c>
      <c r="G5" s="10"/>
    </row>
    <row r="6" spans="1:7" x14ac:dyDescent="0.2">
      <c r="A6" s="4">
        <v>4</v>
      </c>
      <c r="B6" s="4" t="s">
        <v>411</v>
      </c>
      <c r="C6" s="4" t="s">
        <v>412</v>
      </c>
      <c r="D6" s="4" t="s">
        <v>413</v>
      </c>
      <c r="E6" s="4" t="s">
        <v>414</v>
      </c>
      <c r="F6" s="4" t="s">
        <v>402</v>
      </c>
      <c r="G6" s="10"/>
    </row>
    <row r="7" spans="1:7" ht="28" x14ac:dyDescent="0.2">
      <c r="A7" s="4">
        <v>5</v>
      </c>
      <c r="B7" s="4" t="s">
        <v>415</v>
      </c>
      <c r="C7" s="4" t="s">
        <v>416</v>
      </c>
      <c r="D7" s="4" t="s">
        <v>417</v>
      </c>
      <c r="E7" s="4" t="s">
        <v>418</v>
      </c>
      <c r="F7" s="4" t="s">
        <v>402</v>
      </c>
      <c r="G7" s="10"/>
    </row>
    <row r="8" spans="1:7" x14ac:dyDescent="0.2">
      <c r="A8" s="4">
        <v>6</v>
      </c>
      <c r="B8" s="4" t="s">
        <v>419</v>
      </c>
      <c r="C8" s="4" t="s">
        <v>420</v>
      </c>
      <c r="D8" s="4" t="s">
        <v>421</v>
      </c>
      <c r="E8" s="4" t="s">
        <v>422</v>
      </c>
      <c r="F8" s="4" t="s">
        <v>402</v>
      </c>
      <c r="G8" s="10"/>
    </row>
    <row r="9" spans="1:7" x14ac:dyDescent="0.2">
      <c r="A9" s="4">
        <v>7</v>
      </c>
      <c r="B9" s="4" t="s">
        <v>423</v>
      </c>
      <c r="C9" s="4" t="s">
        <v>424</v>
      </c>
      <c r="D9" s="4" t="s">
        <v>425</v>
      </c>
      <c r="E9" s="4" t="s">
        <v>426</v>
      </c>
      <c r="F9" s="4" t="s">
        <v>402</v>
      </c>
      <c r="G9" s="10"/>
    </row>
    <row r="10" spans="1:7" x14ac:dyDescent="0.2">
      <c r="A10" s="4">
        <v>8</v>
      </c>
      <c r="B10" s="4" t="s">
        <v>427</v>
      </c>
      <c r="C10" s="4" t="s">
        <v>428</v>
      </c>
      <c r="D10" s="4" t="s">
        <v>429</v>
      </c>
      <c r="E10" s="4" t="s">
        <v>430</v>
      </c>
      <c r="F10" s="4" t="s">
        <v>402</v>
      </c>
      <c r="G10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0_อ่านก่อน</vt:lpstr>
      <vt:lpstr>1_สินค้าทั้งหมด</vt:lpstr>
      <vt:lpstr>Sheet1</vt:lpstr>
      <vt:lpstr>2_เงื่อนไขการแนะนำ</vt:lpstr>
      <vt:lpstr>3_Safety Matrix</vt:lpstr>
      <vt:lpstr>4_Protocol 90 วัน</vt:lpstr>
      <vt:lpstr>5_สูตรคำนวณ</vt:lpstr>
      <vt:lpstr>6_คำถามค้าง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Chaiwat Phuwanonjirakawin</cp:lastModifiedBy>
  <dcterms:created xsi:type="dcterms:W3CDTF">2026-07-27T03:44:11Z</dcterms:created>
  <dcterms:modified xsi:type="dcterms:W3CDTF">2026-07-29T08:29:12Z</dcterms:modified>
</cp:coreProperties>
</file>
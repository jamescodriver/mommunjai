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อ่านก่อน" sheetId="1" state="visible" r:id="rId1"/>
    <sheet xmlns:r="http://schemas.openxmlformats.org/officeDocument/2006/relationships" name="1_สินค้าทั้งหมด" sheetId="2" state="visible" r:id="rId2"/>
    <sheet xmlns:r="http://schemas.openxmlformats.org/officeDocument/2006/relationships" name="2_เงื่อนไขการแนะนำ" sheetId="3" state="visible" r:id="rId3"/>
    <sheet xmlns:r="http://schemas.openxmlformats.org/officeDocument/2006/relationships" name="3_Safety Matrix" sheetId="4" state="visible" r:id="rId4"/>
    <sheet xmlns:r="http://schemas.openxmlformats.org/officeDocument/2006/relationships" name="4_Protocol 90 วัน" sheetId="5" state="visible" r:id="rId5"/>
    <sheet xmlns:r="http://schemas.openxmlformats.org/officeDocument/2006/relationships" name="5_สูตรคำนวณ" sheetId="6" state="visible" r:id="rId6"/>
    <sheet xmlns:r="http://schemas.openxmlformats.org/officeDocument/2006/relationships" name="6_คำถามค้าง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Tahoma"/>
      <b val="1"/>
      <color rgb="003D3D4D"/>
      <sz val="14"/>
    </font>
    <font>
      <name val="Tahoma"/>
      <i val="1"/>
      <color rgb="008A8A9A"/>
      <sz val="9"/>
    </font>
    <font>
      <name val="Tahoma"/>
      <b val="1"/>
      <color rgb="00FFFFFF"/>
      <sz val="10"/>
    </font>
    <font>
      <name val="Tahoma"/>
      <color rgb="003D3D4D"/>
      <sz val="10"/>
    </font>
    <font>
      <name val="Tahoma"/>
      <b val="1"/>
      <color rgb="003D3D4D"/>
      <sz val="12"/>
    </font>
    <font>
      <name val="Tahoma"/>
      <b val="1"/>
      <color rgb="003D3D4D"/>
      <sz val="11"/>
    </font>
    <font>
      <name val="Tahoma"/>
      <b val="1"/>
      <color rgb="00E14F97"/>
      <sz val="12"/>
    </font>
    <font>
      <name val="Tahoma"/>
      <b val="1"/>
      <i val="1"/>
      <color rgb="008A8A9A"/>
      <sz val="9"/>
    </font>
    <font>
      <name val="Tahoma"/>
      <b val="1"/>
      <color rgb="00E14F97"/>
      <sz val="10"/>
    </font>
    <font>
      <name val="Tahoma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BC0BA"/>
      </patternFill>
    </fill>
    <fill>
      <patternFill patternType="solid">
        <fgColor rgb="00F978B3"/>
      </patternFill>
    </fill>
    <fill>
      <patternFill patternType="solid">
        <fgColor rgb="00E6F7F6"/>
      </patternFill>
    </fill>
    <fill>
      <patternFill patternType="solid">
        <fgColor rgb="00FFF2CC"/>
      </patternFill>
    </fill>
    <fill>
      <patternFill patternType="solid">
        <fgColor rgb="00FFE7F1"/>
      </patternFill>
    </fill>
  </fills>
  <borders count="2">
    <border>
      <left/>
      <right/>
      <top/>
      <bottom/>
      <diagonal/>
    </border>
    <border>
      <left style="thin">
        <color rgb="00D9D9E0"/>
      </left>
      <right style="thin">
        <color rgb="00D9D9E0"/>
      </right>
      <top style="thin">
        <color rgb="00D9D9E0"/>
      </top>
      <bottom style="thin">
        <color rgb="00D9D9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0" pivotButton="0" quotePrefix="0" xfId="0"/>
    <xf numFmtId="0" fontId="6" fillId="4" borderId="1" applyAlignment="1" pivotButton="0" quotePrefix="0" xfId="0">
      <alignment horizontal="center"/>
    </xf>
    <xf numFmtId="0" fontId="7" fillId="0" borderId="0" pivotButton="0" quotePrefix="0" xfId="0"/>
    <xf numFmtId="0" fontId="4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Mommunjai</author>
  </authors>
  <commentList>
    <comment ref="E3" authorId="0" shapeId="0">
      <text>
        <t>ราคาดึงจาก docs/product-catalog.md ซึ่งถอดจากเว็บไซต์ — อาจไม่ตรงราคาปัจจุบัน ขอให้ตรวจทุกบรรทัด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pane ySplit="27" topLeftCell="A28" activePane="bottomLeft" state="frozen"/>
      <selection pane="bottomLeft" activeCell="A1" sqref="A1"/>
    </sheetView>
  </sheetViews>
  <sheetFormatPr baseColWidth="8" defaultRowHeight="15"/>
  <cols>
    <col width="26" customWidth="1" min="1" max="1"/>
    <col width="105" customWidth="1" min="2" max="2"/>
  </cols>
  <sheetData>
    <row r="1" ht="22" customHeight="1">
      <c r="A1" s="1" t="inlineStr">
        <is>
          <t>Mommunjai — ตารางยืนยันข้อมูลทั้งหมด (Mapping &amp; Protocol)</t>
        </is>
      </c>
    </row>
    <row r="2">
      <c r="A2" s="2" t="inlineStr">
        <is>
          <t>ถอดจากโค้ดที่ใช้งานจริง ณ 2026-07-27 · สำหรับทีม Baby &amp; Mom (ครูก้อย) ตรวจและยืนยัน</t>
        </is>
      </c>
    </row>
    <row r="4" ht="34" customHeight="1">
      <c r="A4" s="3" t="inlineStr">
        <is>
          <t>ชีต</t>
        </is>
      </c>
      <c r="B4" s="3" t="inlineStr">
        <is>
          <t>อธิบาย</t>
        </is>
      </c>
    </row>
    <row r="5">
      <c r="A5" s="4" t="inlineStr">
        <is>
          <t>1_สินค้าทั้งหมด</t>
        </is>
      </c>
      <c r="B5" s="4" t="inlineStr">
        <is>
          <t>ทุกตัวที่แอปแนะนำได้ พร้อมวิธีรับประทาน/ราคา/ข้อควรระวังที่ผู้ใช้เห็นจริง — ตรวจว่าตรงกับที่แบรนด์ต้องการสื่อไหม</t>
        </is>
      </c>
    </row>
    <row r="6">
      <c r="A6" s="4" t="inlineStr">
        <is>
          <t>2_เงื่อนไขการแนะนำ</t>
        </is>
      </c>
      <c r="B6" s="4" t="inlineStr">
        <is>
          <t>โปรไฟล์ผู้ใช้แบบไหน → ระบบแนะนำอะไรบ้าง (ตรรกะจริงในโค้ด)</t>
        </is>
      </c>
    </row>
    <row r="7">
      <c r="A7" s="4" t="inlineStr">
        <is>
          <t>3_Safety Matrix</t>
        </is>
      </c>
      <c r="B7" s="4" t="inlineStr">
        <is>
          <t>กฎ "หยุดเมื่อไหร่" ที่ระบบบังคับใช้อัตโนมัติ — จุดที่เสี่ยงที่สุด ควรให้เภสัชกรตรวจ</t>
        </is>
      </c>
    </row>
    <row r="8">
      <c r="A8" s="4" t="inlineStr">
        <is>
          <t>4_Protocol 90 วัน</t>
        </is>
      </c>
      <c r="B8" s="4" t="inlineStr">
        <is>
          <t>แผน 90 วันที่ผู้ใช้ได้รับ แยกตามโปรไฟล์</t>
        </is>
      </c>
    </row>
    <row r="9">
      <c r="A9" s="4" t="inlineStr">
        <is>
          <t>5_สูตรคำนวณ</t>
        </is>
      </c>
      <c r="B9" s="4" t="inlineStr">
        <is>
          <t>ที่มาของทุกตัวเลข: นับวันไข่ตก · โปรตีน · สารอาหาร · การนอน · คะแนนความพร้อม</t>
        </is>
      </c>
    </row>
    <row r="10">
      <c r="A10" s="4" t="inlineStr">
        <is>
          <t>6_คำถามค้าง</t>
        </is>
      </c>
      <c r="B10" s="4" t="inlineStr">
        <is>
          <t>สิ่งที่ยังต้องรอคำตอบจากทีม — ระบบยังทำงานได้ แต่จะสมบูรณ์เมื่อได้คำตอบ</t>
        </is>
      </c>
    </row>
    <row r="13">
      <c r="A13" s="5" t="inlineStr">
        <is>
          <t>วิธียืนยัน</t>
        </is>
      </c>
    </row>
    <row r="14" ht="34" customHeight="1">
      <c r="A14" s="6" t="inlineStr">
        <is>
          <t>สัญลักษณ์</t>
        </is>
      </c>
      <c r="B14" s="6" t="inlineStr">
        <is>
          <t>ความหมาย</t>
        </is>
      </c>
    </row>
    <row r="15">
      <c r="A15" s="4" t="inlineStr">
        <is>
          <t>ช่องพื้นเหลือง</t>
        </is>
      </c>
      <c r="B15" s="4" t="inlineStr">
        <is>
          <t>ช่องที่ขอให้ทีมกรอก (ยืนยัน / แก้ไข / หมายเหตุ) — ช่องอื่นเป็นข้อมูลปัจจุบันของระบบ</t>
        </is>
      </c>
    </row>
    <row r="16">
      <c r="A16" s="4" t="inlineStr">
        <is>
          <t>คอลัมน์ "ทีมยืนยัน"</t>
        </is>
      </c>
      <c r="B16" s="4" t="inlineStr">
        <is>
          <t>พิมพ์ "ถูก" ถ้าใช้ได้เลย · พิมพ์ข้อความที่ถูกต้องถ้าต้องแก้</t>
        </is>
      </c>
    </row>
    <row r="17">
      <c r="A17" s="4" t="inlineStr">
        <is>
          <t>สถานะ ⏳ รอยืนยัน</t>
        </is>
      </c>
      <c r="B17" s="4" t="inlineStr">
        <is>
          <t>ระบบยังไม่มีข้อมูลนี้ ต้องได้จากทีมก่อนถึงจะแสดงให้ลูกค้าเห็น</t>
        </is>
      </c>
    </row>
    <row r="18">
      <c r="A18" s="4" t="inlineStr">
        <is>
          <t>สถานะ 🚫 ห้ามใช้</t>
        </is>
      </c>
      <c r="B18" s="4" t="inlineStr">
        <is>
          <t>ข้อความที่ผิดกฎโฆษณาอาหาร — ระบบบล็อกไว้ ต้องมีเลข ฆอ. รองรับจึงจะปลดได้</t>
        </is>
      </c>
    </row>
    <row r="20">
      <c r="A20" s="5" t="inlineStr">
        <is>
          <t>สรุปสถานะ (คำนวณอัตโนมัติ)</t>
        </is>
      </c>
    </row>
    <row r="21">
      <c r="A21" s="7" t="inlineStr">
        <is>
          <t>จำนวนสินค้าทั้งหมดในระบบ</t>
        </is>
      </c>
      <c r="B21" s="8">
        <f>COUNTA('1_สินค้าทั้งหมด'!B3:B40)</f>
        <v/>
      </c>
    </row>
    <row r="22">
      <c r="A22" s="7" t="inlineStr">
        <is>
          <t>ยืนยันข้อมูลครบแล้ว</t>
        </is>
      </c>
      <c r="B22" s="8">
        <f>COUNTIF('1_สินค้าทั้งหมด'!L3:L40,"✅*")</f>
        <v/>
      </c>
    </row>
    <row r="23">
      <c r="A23" s="7" t="inlineStr">
        <is>
          <t>ยังรอข้อมูลจากทีม</t>
        </is>
      </c>
      <c r="B23" s="8">
        <f>COUNTIF('1_สินค้าทั้งหมด'!L3:L40,"⏳*")</f>
        <v/>
      </c>
    </row>
    <row r="24">
      <c r="A24" s="7" t="inlineStr">
        <is>
          <t>ถูกบล็อกด้วยเหตุผลทางกฎหมาย (รอเลข ฆอ.)</t>
        </is>
      </c>
      <c r="B24" s="15">
        <f>COUNTIF('1_สินค้าทั้งหมด'!L3:L40,"🚫*")</f>
        <v/>
      </c>
    </row>
    <row r="25">
      <c r="A25" s="7" t="inlineStr">
        <is>
          <t>คำถามที่ยังไม่ได้ตอบ</t>
        </is>
      </c>
      <c r="B25" s="8">
        <f>COUNTIF('6_คำถามค้าง'!F3:F30,"⏳*")</f>
        <v/>
      </c>
    </row>
    <row r="27" ht="34" customHeight="1">
      <c r="A27" s="9" t="inlineStr">
        <is>
          <t>⚠️ ข้อสำคัญที่ต้องรู้ก่อนอ่าน</t>
        </is>
      </c>
    </row>
    <row r="28">
      <c r="A28" s="6" t="inlineStr">
        <is>
          <t>หัวข้อ</t>
        </is>
      </c>
      <c r="B28" s="6" t="inlineStr">
        <is>
          <t>สิ่งที่ต้องรู้</t>
        </is>
      </c>
    </row>
    <row r="29">
      <c r="A29" s="4" t="inlineStr">
        <is>
          <t>คะแนนความพร้อม 0–100</t>
        </is>
      </c>
      <c r="B29" s="4" t="inlineStr">
        <is>
          <t>เกณฑ์ให้คะแนนเป็นตัวเลขที่ทีมพัฒนากำหนดเองเพื่อให้ระบบทำงานได้ก่อน ยังไม่ผ่านการตรวจจากเภสัชกรหรือแพทย์ — ดูชีต 5 และขอให้ผู้เชี่ยวชาญของแบรนด์ตรวจก่อนใช้กับลูกค้าจริง</t>
        </is>
      </c>
    </row>
    <row r="30">
      <c r="A30" s="4" t="inlineStr">
        <is>
          <t>ข้อความสรรพคุณ</t>
        </is>
      </c>
      <c r="B30" s="4" t="inlineStr">
        <is>
          <t>ระบบเลี่ยงคำเคลมรักษา/ป้องกันโรคทุกกรณี และมีการทดสอบอัตโนมัติบล็อกคำต้องห้ามไว้ ถ้าแบรนด์มีเลข ฆอ. ที่อนุมัติข้อความใด ส่งมาได้ จะใส่กลับพร้อมอ้างอิง</t>
        </is>
      </c>
    </row>
    <row r="31">
      <c r="A31" s="4" t="inlineStr">
        <is>
          <t>ราคา</t>
        </is>
      </c>
      <c r="B31" s="4" t="inlineStr">
        <is>
          <t>ดึงจากเอกสารราคาที่ได้รับ อาจไม่ตรงกับราคาปัจจุบัน — ขอให้ตรวจทุกบรรทัด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26" customWidth="1" min="4" max="4"/>
    <col width="12" customWidth="1" min="5" max="5"/>
    <col width="46" customWidth="1" min="6" max="6"/>
    <col width="34" customWidth="1" min="7" max="7"/>
    <col width="38" customWidth="1" min="8" max="8"/>
    <col width="34" customWidth="1" min="9" max="9"/>
    <col width="24" customWidth="1" min="10" max="10"/>
    <col width="14" customWidth="1" min="11" max="11"/>
    <col width="40" customWidth="1" min="12" max="12"/>
    <col width="30" customWidth="1" min="13" max="13"/>
    <col width="30" customWidth="1" min="14" max="14"/>
  </cols>
  <sheetData>
    <row r="1" ht="22" customHeight="1">
      <c r="A1" s="1" t="inlineStr">
        <is>
          <t>สินค้าทั้งหมดที่แอปแนะนำได้</t>
        </is>
      </c>
    </row>
    <row r="2" ht="34" customHeight="1">
      <c r="A2" s="3" t="inlineStr">
        <is>
          <t>#</t>
        </is>
      </c>
      <c r="B2" s="3" t="inlineStr">
        <is>
          <t>รหัส</t>
        </is>
      </c>
      <c r="C2" s="3" t="inlineStr">
        <is>
          <t>ชื่อสินค้า</t>
        </is>
      </c>
      <c r="D2" s="3" t="inlineStr">
        <is>
          <t>กลุ่มในแอป</t>
        </is>
      </c>
      <c r="E2" s="3" t="inlineStr">
        <is>
          <t>ราคา (฿)</t>
        </is>
      </c>
      <c r="F2" s="3" t="inlineStr">
        <is>
          <t>วิธีรับประทานที่แอปแสดง</t>
        </is>
      </c>
      <c r="G2" s="3" t="inlineStr">
        <is>
          <t>ส่วนประกอบที่แอปแสดง</t>
        </is>
      </c>
      <c r="H2" s="3" t="inlineStr">
        <is>
          <t>คำอธิบายที่แอปแสดง</t>
        </is>
      </c>
      <c r="I2" s="3" t="inlineStr">
        <is>
          <t>ข้อควรระวังที่แอปแสดง</t>
        </is>
      </c>
      <c r="J2" s="3" t="inlineStr">
        <is>
          <t>❌ ต้องหยุดเมื่อ</t>
        </is>
      </c>
      <c r="K2" s="3" t="inlineStr">
        <is>
          <t>ที่มาข้อมูล</t>
        </is>
      </c>
      <c r="L2" s="3" t="inlineStr">
        <is>
          <t>สถานะ</t>
        </is>
      </c>
      <c r="M2" s="3" t="inlineStr">
        <is>
          <t>✍️ ทีมยืนยัน (ถูก / แก้เป็น...)</t>
        </is>
      </c>
      <c r="N2" s="3" t="inlineStr">
        <is>
          <t>✍️ หมายเหตุจากทีม</t>
        </is>
      </c>
    </row>
    <row r="3">
      <c r="A3" s="4" t="n">
        <v>1</v>
      </c>
      <c r="B3" s="4" t="inlineStr">
        <is>
          <t>ovaall</t>
        </is>
      </c>
      <c r="C3" s="4" t="inlineStr">
        <is>
          <t>OvaAll วิตามินโอวาออลล์</t>
        </is>
      </c>
      <c r="D3" s="4" t="inlineStr">
        <is>
          <t>⭐ แกนหลัก (หญิง)</t>
        </is>
      </c>
      <c r="E3" s="4" t="n">
        <v>2490</v>
      </c>
      <c r="F3" s="4" t="inlineStr">
        <is>
          <t>วันละ 1 ซอง (4 เม็ด) พร้อมอาหารมื้อใดก็ได้ · เริ่มล่วงหน้าอย่างน้อย 3 เดือน</t>
        </is>
      </c>
      <c r="G3" s="4" t="inlineStr">
        <is>
          <t>โฟลิก 400mcg · CoQ10 30mg · น้ำมันปลา 500mg · มัลติวิตามิน&amp;แร่ธาตุ 21 ชนิด</t>
        </is>
      </c>
      <c r="H3" s="4" t="inlineStr">
        <is>
          <t>วิตามินรวมบำรุงไข่ ครบในซองเดียว</t>
        </is>
      </c>
      <c r="I3" s="4" t="inlineStr">
        <is>
          <t>ตั้งครรภ์แล้วทานต่อได้ภายใต้คำแนะนำแพทย์</t>
        </is>
      </c>
      <c r="J3" s="4" t="inlineStr">
        <is>
          <t>—</t>
        </is>
      </c>
      <c r="K3" s="4" t="inlineStr">
        <is>
          <t>leaflet #9</t>
        </is>
      </c>
      <c r="L3" s="4" t="inlineStr">
        <is>
          <t>✅ ครบ</t>
        </is>
      </c>
      <c r="M3" s="10" t="inlineStr"/>
      <c r="N3" s="10" t="inlineStr"/>
    </row>
    <row r="4">
      <c r="A4" s="4" t="n">
        <v>2</v>
      </c>
      <c r="B4" s="4" t="inlineStr">
        <is>
          <t>ferty</t>
        </is>
      </c>
      <c r="C4" s="4" t="inlineStr">
        <is>
          <t>Ferty โปรตีนเฟอร์ตี้</t>
        </is>
      </c>
      <c r="D4" s="4" t="inlineStr">
        <is>
          <t>⭐ แกนหลัก (หญิง)</t>
        </is>
      </c>
      <c r="E4" s="4" t="n">
        <v>1590</v>
      </c>
      <c r="F4" s="4" t="inlineStr">
        <is>
          <t>วันละ 2 ซอง (เช้า/เย็น) ชงน้ำ นมแพะ หรือนมอัลมอนด์ · ผนังมดลูกบางไม่ถึง 7 มม. ใช้วันละ 3 ซอง</t>
        </is>
      </c>
      <c r="G4" s="4" t="inlineStr">
        <is>
          <t>1 ซอง = โปรตีน 25 กรัม · มีโฟลิก/CoQ10/วิตามินดี/บีรวม/อิโนซิทอล</t>
        </is>
      </c>
      <c r="H4" s="4" t="inlineStr">
        <is>
          <t>โปรตีนพืช + มัลติวิตามิน/แร่ธาตุ + superfood 33 ชนิด บำรุงไข่และผนังมดลูก</t>
        </is>
      </c>
      <c r="I4" s="4" t="inlineStr">
        <is>
          <t>—</t>
        </is>
      </c>
      <c r="J4" s="4" t="inlineStr">
        <is>
          <t>—</t>
        </is>
      </c>
      <c r="K4" s="4" t="inlineStr">
        <is>
          <t>leaflet #6</t>
        </is>
      </c>
      <c r="L4" s="4" t="inlineStr">
        <is>
          <t>✅ ครบ</t>
        </is>
      </c>
      <c r="M4" s="10" t="inlineStr"/>
      <c r="N4" s="10" t="inlineStr"/>
    </row>
    <row r="5">
      <c r="A5" s="4" t="n">
        <v>3</v>
      </c>
      <c r="B5" s="4" t="inlineStr">
        <is>
          <t>collatelo</t>
        </is>
      </c>
      <c r="C5" s="4" t="inlineStr">
        <is>
          <t>Colla Telo คอลลา เทโล</t>
        </is>
      </c>
      <c r="D5" s="4" t="inlineStr">
        <is>
          <t>⭐ แกนหลัก (หญิง)</t>
        </is>
      </c>
      <c r="E5" s="4" t="n">
        <v>1990</v>
      </c>
      <c r="F5" s="4" t="inlineStr">
        <is>
          <t>วันละ 1 ซอง ละลายน้ำอุณหภูมิปกติ/เย็น 250 มล. หลังตื่นนอนทันทีหรือช่วงท้องว่าง · เร่งฟื้นฟู 2 ซอง</t>
        </is>
      </c>
      <c r="G5" s="4" t="inlineStr">
        <is>
          <t>Wellnex (ญี่ปุ่น) + Collective (ฝรั่งเศส) + Delphinol สารสกัดมากิเบอร์รี</t>
        </is>
      </c>
      <c r="H5" s="4" t="inlineStr">
        <is>
          <t>คอลลาเจน Type 1&amp;3 ช่วยบำรุงไข่และเตรียมผนังมดลูก</t>
        </is>
      </c>
      <c r="I5" s="4" t="inlineStr">
        <is>
          <t>⚠️ มีส่วนประกอบจากปลา — ผู้แพ้อาหารทะเลต้องระวัง</t>
        </is>
      </c>
      <c r="J5" s="4" t="inlineStr">
        <is>
          <t>—</t>
        </is>
      </c>
      <c r="K5" s="4" t="inlineStr">
        <is>
          <t>leaflet #1</t>
        </is>
      </c>
      <c r="L5" s="4" t="inlineStr">
        <is>
          <t>✅ ครบ</t>
        </is>
      </c>
      <c r="M5" s="10" t="inlineStr"/>
      <c r="N5" s="10" t="inlineStr"/>
    </row>
    <row r="6">
      <c r="A6" s="4" t="n">
        <v>4</v>
      </c>
      <c r="B6" s="4" t="inlineStr">
        <is>
          <t>ferti9oil</t>
        </is>
      </c>
      <c r="C6" s="4" t="inlineStr">
        <is>
          <t>Ferti 9 Oil เฟอร์ติ ไนน์ ออยล์</t>
        </is>
      </c>
      <c r="D6" s="4" t="inlineStr">
        <is>
          <t>⭐ แกนหลัก (หญิง)</t>
        </is>
      </c>
      <c r="E6" s="4" t="n">
        <v>1590</v>
      </c>
      <c r="F6" s="4" t="inlineStr">
        <is>
          <t>วันละ 2 เม็ด พร้อมอาหาร หรือพร้อม OvaAll · ช่วงกระตุ้นไข่ 4 เม็ด · เตรียมผนังบาง 2–4 เม็ด</t>
        </is>
      </c>
      <c r="G6" s="4" t="inlineStr">
        <is>
          <t>อีฟนิ่งพริมโรส · มะรุม DHA · สาหร่าย · ฟักทอง · แฟล็กซีด</t>
        </is>
      </c>
      <c r="H6" s="4" t="inlineStr">
        <is>
          <t>9 น้ำมันดี ตั้งต้นฮอร์โมนเพศหญิง บำรุงมดลูก</t>
        </is>
      </c>
      <c r="I6" s="4" t="inlineStr">
        <is>
          <t>ใส่ตัวอ่อนแล้วลดเหลือวันละ 1–2 เม็ด · ทานยาวถึงช่วงให้นมได้</t>
        </is>
      </c>
      <c r="J6" s="4" t="inlineStr">
        <is>
          <t>—</t>
        </is>
      </c>
      <c r="K6" s="4" t="inlineStr">
        <is>
          <t>leaflet #11</t>
        </is>
      </c>
      <c r="L6" s="4" t="inlineStr">
        <is>
          <t>✅ ครบ (ยืนยัน 27 ก.ค. = รับประทาน ไม่ใช่น้ำมันทา)</t>
        </is>
      </c>
      <c r="M6" s="10" t="inlineStr"/>
      <c r="N6" s="10" t="inlineStr"/>
    </row>
    <row r="7">
      <c r="A7" s="4" t="n">
        <v>5</v>
      </c>
      <c r="B7" s="4" t="inlineStr">
        <is>
          <t>pcovit</t>
        </is>
      </c>
      <c r="C7" s="4" t="inlineStr">
        <is>
          <t>PCO-VIT พีซีโอวิท</t>
        </is>
      </c>
      <c r="D7" s="4" t="inlineStr">
        <is>
          <t>🎯 เสริมตามโปรไฟล์</t>
        </is>
      </c>
      <c r="E7" s="4" t="n">
        <v>1990</v>
      </c>
      <c r="F7" s="4" t="inlineStr">
        <is>
          <t>ทานคู่กับการดูแลเรื่องน้ำตาล</t>
        </is>
      </c>
      <c r="G7" s="4" t="inlineStr">
        <is>
          <t>—</t>
        </is>
      </c>
      <c r="H7" s="4" t="inlineStr">
        <is>
          <t>สำหรับผู้ที่ต้องการดูแลสมดุลในกลุ่ม PCOS (เสริมโภชนาการ ไม่ใช่ยารักษา)</t>
        </is>
      </c>
      <c r="I7" s="4" t="inlineStr">
        <is>
          <t>ถ้าใช้ยาอยู่ ปรึกษาแพทย์/เภสัชกรก่อน</t>
        </is>
      </c>
      <c r="J7" s="4" t="inlineStr">
        <is>
          <t>—</t>
        </is>
      </c>
      <c r="K7" s="4" t="inlineStr">
        <is>
          <t>catalog เดิม</t>
        </is>
      </c>
      <c r="L7" s="4" t="inlineStr">
        <is>
          <t>⏳ ขอวิธีรับประทานละเอียด (กี่เม็ด/ตอนไหน)</t>
        </is>
      </c>
      <c r="M7" s="10" t="inlineStr"/>
      <c r="N7" s="10" t="inlineStr"/>
    </row>
    <row r="8">
      <c r="A8" s="4" t="n">
        <v>6</v>
      </c>
      <c r="B8" s="4" t="inlineStr">
        <is>
          <t>aos</t>
        </is>
      </c>
      <c r="C8" s="4" t="inlineStr">
        <is>
          <t>A.O.S เอ โอ เอส</t>
        </is>
      </c>
      <c r="D8" s="4" t="inlineStr">
        <is>
          <t>🎯 เสริมตามโปรไฟล์</t>
        </is>
      </c>
      <c r="E8" s="4" t="n">
        <v>1690</v>
      </c>
      <c r="F8" s="4" t="inlineStr">
        <is>
          <t>วันละ 2 แคปซูล หลังตื่นนอน (active dose แอสตาแซนธิน ~12 มก./วัน)</t>
        </is>
      </c>
      <c r="G8" s="4" t="inlineStr">
        <is>
          <t>AstaZine astaxanthin (ญี่ปุ่น) + SOD (ฝรั่งเศส) + NMN องุ่นแดง รวม 10 ชนิด</t>
        </is>
      </c>
      <c r="H8" s="4" t="inlineStr">
        <is>
          <t>สารต้านอนุมูลอิสระเข้มข้น ดูแลคุณภาพไข่และตัวอ่อน</t>
        </is>
      </c>
      <c r="I8" s="4" t="inlineStr">
        <is>
          <t>—</t>
        </is>
      </c>
      <c r="J8" s="4" t="inlineStr">
        <is>
          <t>❌ หลังใส่ตัวอ่อน · ตั้งครรภ์</t>
        </is>
      </c>
      <c r="K8" s="4" t="inlineStr">
        <is>
          <t>leaflet #3</t>
        </is>
      </c>
      <c r="L8" s="4" t="inlineStr">
        <is>
          <t>✅ ครบ</t>
        </is>
      </c>
      <c r="M8" s="10" t="inlineStr"/>
      <c r="N8" s="10" t="inlineStr"/>
    </row>
    <row r="9">
      <c r="A9" s="4" t="n">
        <v>7</v>
      </c>
      <c r="B9" s="4" t="inlineStr">
        <is>
          <t>varginaree</t>
        </is>
      </c>
      <c r="C9" s="4" t="inlineStr">
        <is>
          <t>Varginaree วาร์จินนารี</t>
        </is>
      </c>
      <c r="D9" s="4" t="inlineStr">
        <is>
          <t>🎯 เสริมตามโปรไฟล์</t>
        </is>
      </c>
      <c r="E9" s="4" t="n">
        <v>1990</v>
      </c>
      <c r="F9" s="4" t="inlineStr">
        <is>
          <t>วันละ 1–2 แคปซูล ก่อนนอน · ไข่เสื่อม/เอสโตรเจนต่ำ หรือเตรียมผนัง ใช้ 2 เม็ด</t>
        </is>
      </c>
      <c r="G9" s="4" t="inlineStr">
        <is>
          <t>Solgen ES + ไฟโตเอสโตรเจน 14 ชนิด (ตังกุย/โสม)</t>
        </is>
      </c>
      <c r="H9" s="4" t="inlineStr">
        <is>
          <t>ดูแลภายในสตรี 3 ระบบ — สมดุลฮอร์โมน ภายใน และผิว</t>
        </is>
      </c>
      <c r="I9" s="4" t="inlineStr">
        <is>
          <t>—</t>
        </is>
      </c>
      <c r="J9" s="4" t="inlineStr">
        <is>
          <t>❌ หลังใส่ตัวอ่อน · ตั้งครรภ์ · ให้นม</t>
        </is>
      </c>
      <c r="K9" s="4" t="inlineStr">
        <is>
          <t>leaflet #16</t>
        </is>
      </c>
      <c r="L9" s="4" t="inlineStr">
        <is>
          <t>✅ ครบ</t>
        </is>
      </c>
      <c r="M9" s="10" t="inlineStr"/>
      <c r="N9" s="10" t="inlineStr"/>
    </row>
    <row r="10">
      <c r="A10" s="4" t="n">
        <v>8</v>
      </c>
      <c r="B10" s="4" t="inlineStr">
        <is>
          <t>nightshot</t>
        </is>
      </c>
      <c r="C10" s="4" t="inlineStr">
        <is>
          <t>Night Shot ไนท์ ชอท</t>
        </is>
      </c>
      <c r="D10" s="4" t="inlineStr">
        <is>
          <t>🎯 เสริมตามโปรไฟล์</t>
        </is>
      </c>
      <c r="E10" s="4" t="n">
        <v>1590</v>
      </c>
      <c r="F10" s="4" t="inlineStr">
        <is>
          <t>วันละ 1 ซอง 30 นาทีก่อนนอน</t>
        </is>
      </c>
      <c r="G10" s="4" t="inlineStr">
        <is>
          <t>Pharmagaba (ญี่ปุ่น) + L-Theanine AlphaWave (สหรัฐฯ) + ซิงก์ + แบล็คเคอแรนท์</t>
        </is>
      </c>
      <c r="H10" s="4" t="inlineStr">
        <is>
          <t>วิตามินน้ำช่วยเรื่องการนอน — การนอนดีคือฐานของฮอร์โมน</t>
        </is>
      </c>
      <c r="I10" s="4" t="inlineStr">
        <is>
          <t>อาจทำให้ง่วง — ไม่ควรขับรถหลังทาน</t>
        </is>
      </c>
      <c r="J10" s="4" t="inlineStr">
        <is>
          <t>—</t>
        </is>
      </c>
      <c r="K10" s="4" t="inlineStr">
        <is>
          <t>leaflet #17</t>
        </is>
      </c>
      <c r="L10" s="4" t="inlineStr">
        <is>
          <t>✅ ครบ</t>
        </is>
      </c>
      <c r="M10" s="10" t="inlineStr"/>
      <c r="N10" s="10" t="inlineStr"/>
    </row>
    <row r="11">
      <c r="A11" s="4" t="n">
        <v>9</v>
      </c>
      <c r="B11" s="4" t="inlineStr">
        <is>
          <t>phytocrystalc</t>
        </is>
      </c>
      <c r="C11" s="4" t="inlineStr">
        <is>
          <t>Phyto Crystal C ไฟโตคริสตัลซี</t>
        </is>
      </c>
      <c r="D11" s="4" t="inlineStr">
        <is>
          <t>🥗 โภชนาการเสริม</t>
        </is>
      </c>
      <c r="E11" s="4" t="inlineStr">
        <is>
          <t>สอบถามราคา</t>
        </is>
      </c>
      <c r="F11" s="4" t="inlineStr">
        <is>
          <t>วันละ 2–3 ซอง ผสมน้ำ 150 มล. · หลังตื่นนอนหรือช่วงท้องว่าง</t>
        </is>
      </c>
      <c r="G11" s="4" t="inlineStr">
        <is>
          <t>3 รส: องุ่นไซบัคคัล · ลิ้นจี่ · ส้มสีเลือด</t>
        </is>
      </c>
      <c r="H11" s="4" t="inlineStr">
        <is>
          <t>วิตามินซีจากผลไม้ 16 ชนิด ปกป้องเซลล์ไข่และเสริมภูมิคุ้มกัน</t>
        </is>
      </c>
      <c r="I11" s="4" t="inlineStr">
        <is>
          <t>—</t>
        </is>
      </c>
      <c r="J11" s="4" t="inlineStr">
        <is>
          <t>—</t>
        </is>
      </c>
      <c r="K11" s="4" t="inlineStr">
        <is>
          <t>leaflet #2</t>
        </is>
      </c>
      <c r="L11" s="4" t="inlineStr">
        <is>
          <t>⏳ ไม่มีราคาในเอกสารใดเลย — แอปแสดง "สอบถามราคา"</t>
        </is>
      </c>
      <c r="M11" s="10" t="inlineStr"/>
      <c r="N11" s="10" t="inlineStr"/>
    </row>
    <row r="12">
      <c r="A12" s="4" t="n">
        <v>10</v>
      </c>
      <c r="B12" s="4" t="inlineStr">
        <is>
          <t>kaffirshot</t>
        </is>
      </c>
      <c r="C12" s="4" t="inlineStr">
        <is>
          <t>น้ำมะกรูด Shot 100%</t>
        </is>
      </c>
      <c r="D12" s="4" t="inlineStr">
        <is>
          <t>🥗 โภชนาการเสริม</t>
        </is>
      </c>
      <c r="E12" s="4" t="n">
        <v>600</v>
      </c>
      <c r="F12" s="4" t="inlineStr">
        <is>
          <t>วันละ 1–2 ขวด ผสมน้ำเจือจางหรือแบ่งทานได้ · ควรดูดผ่านหลอดเพื่อลดการสึกกร่อนของฟัน</t>
        </is>
      </c>
      <c r="G12" s="4" t="inlineStr">
        <is>
          <t>ไบโอฟลาโวนอยด์ · เควอซิทิน · วิตามินซี</t>
        </is>
      </c>
      <c r="H12" s="4" t="inlineStr">
        <is>
          <t>สารต้านอนุมูลอิสระ 3 ชนิด ช่วยการไหลเวียนเลือด</t>
        </is>
      </c>
      <c r="I12" s="4" t="inlineStr">
        <is>
          <t>ผู้เป็นโรคกระเพาะหรือกรดไหลย้อน ไม่แนะนำ · เก็บตู้เย็น 20 วัน / ฟรีซ 1 ปี</t>
        </is>
      </c>
      <c r="J12" s="4" t="inlineStr">
        <is>
          <t>❌ หลังใส่ตัวอ่อน · ตั้งครรภ์</t>
        </is>
      </c>
      <c r="K12" s="4" t="inlineStr">
        <is>
          <t>leaflet #4</t>
        </is>
      </c>
      <c r="L12" s="4" t="inlineStr">
        <is>
          <t>✅ ครบ</t>
        </is>
      </c>
      <c r="M12" s="10" t="inlineStr"/>
      <c r="N12" s="10" t="inlineStr"/>
    </row>
    <row r="13">
      <c r="A13" s="4" t="n">
        <v>11</v>
      </c>
      <c r="B13" s="4" t="inlineStr">
        <is>
          <t>kaffirhoney</t>
        </is>
      </c>
      <c r="C13" s="4" t="inlineStr">
        <is>
          <t>น้ำมะกรูด 70% + น้ำผึ้งชันโรง</t>
        </is>
      </c>
      <c r="D13" s="4" t="inlineStr">
        <is>
          <t>🥗 โภชนาการเสริม</t>
        </is>
      </c>
      <c r="E13" s="4" t="n">
        <v>2376</v>
      </c>
      <c r="F13" s="4" t="inlineStr">
        <is>
          <t>วันละ 1–2 ขวด หรือผสมกับสูตรคั้นสด 100%</t>
        </is>
      </c>
      <c r="G13" s="4" t="inlineStr">
        <is>
          <t>—</t>
        </is>
      </c>
      <c r="H13" s="4" t="inlineStr">
        <is>
          <t>ต้านอนุมูลอิสระ บำรุงเลือด และมีโพรไบโอติกส์ธรรมชาติ</t>
        </is>
      </c>
      <c r="I13" s="4" t="inlineStr">
        <is>
          <t>เปิดขวดแล้วเก็บในตู้เย็น</t>
        </is>
      </c>
      <c r="J13" s="4" t="inlineStr">
        <is>
          <t>—</t>
        </is>
      </c>
      <c r="K13" s="4" t="inlineStr">
        <is>
          <t>leaflet #5</t>
        </is>
      </c>
      <c r="L13" s="4" t="inlineStr">
        <is>
          <t>✅ ครบ</t>
        </is>
      </c>
      <c r="M13" s="10" t="inlineStr"/>
      <c r="N13" s="10" t="inlineStr"/>
    </row>
    <row r="14">
      <c r="A14" s="4" t="n">
        <v>12</v>
      </c>
      <c r="B14" s="4" t="inlineStr">
        <is>
          <t>goodgrain</t>
        </is>
      </c>
      <c r="C14" s="4" t="inlineStr">
        <is>
          <t>Good Grain ธัญพืชออร์แกนิค</t>
        </is>
      </c>
      <c r="D14" s="4" t="inlineStr">
        <is>
          <t>🥗 โภชนาการเสริม</t>
        </is>
      </c>
      <c r="E14" s="4" t="n">
        <v>550</v>
      </c>
      <c r="F14" s="4" t="inlineStr">
        <is>
          <t>ผสมกับ Ferty 2 ช้อนชาพูน</t>
        </is>
      </c>
      <c r="G14" s="4" t="inlineStr">
        <is>
          <t>อัลมอนด์ · แฟล็กซีด · ลูกเดือย</t>
        </is>
      </c>
      <c r="H14" s="4" t="inlineStr">
        <is>
          <t>โปรตีนและกรดไขมันดี เสริมผนังมดลูก</t>
        </is>
      </c>
      <c r="I14" s="4" t="inlineStr">
        <is>
          <t>เปิดแล้วแช่เย็น (ไม่มีสารกันบูด)</t>
        </is>
      </c>
      <c r="J14" s="4" t="inlineStr">
        <is>
          <t>—</t>
        </is>
      </c>
      <c r="K14" s="4" t="inlineStr">
        <is>
          <t>leaflet #7</t>
        </is>
      </c>
      <c r="L14" s="4" t="inlineStr">
        <is>
          <t>✅ ครบ</t>
        </is>
      </c>
      <c r="M14" s="10" t="inlineStr"/>
      <c r="N14" s="10" t="inlineStr"/>
    </row>
    <row r="15">
      <c r="A15" s="4" t="n">
        <v>13</v>
      </c>
      <c r="B15" s="4" t="inlineStr">
        <is>
          <t>pureblack</t>
        </is>
      </c>
      <c r="C15" s="4" t="inlineStr">
        <is>
          <t>Pure Black งาดำออร์แกนิค</t>
        </is>
      </c>
      <c r="D15" s="4" t="inlineStr">
        <is>
          <t>🥗 โภชนาการเสริม</t>
        </is>
      </c>
      <c r="E15" s="4" t="n">
        <v>450</v>
      </c>
      <c r="F15" s="4" t="inlineStr">
        <is>
          <t>ผสมกับ Ferty 2 ช้อนชาพูน</t>
        </is>
      </c>
      <c r="G15" s="4" t="inlineStr">
        <is>
          <t>—</t>
        </is>
      </c>
      <c r="H15" s="4" t="inlineStr">
        <is>
          <t>เซซามินและแคลเซียม ช่วยเรื่องสมดุลฮอร์โมน</t>
        </is>
      </c>
      <c r="I15" s="4" t="inlineStr">
        <is>
          <t>เปิดแล้วแช่เย็น</t>
        </is>
      </c>
      <c r="J15" s="4" t="inlineStr">
        <is>
          <t>—</t>
        </is>
      </c>
      <c r="K15" s="4" t="inlineStr">
        <is>
          <t>leaflet #8</t>
        </is>
      </c>
      <c r="L15" s="4" t="inlineStr">
        <is>
          <t>✅ ครบ</t>
        </is>
      </c>
      <c r="M15" s="10" t="inlineStr"/>
      <c r="N15" s="10" t="inlineStr"/>
    </row>
    <row r="16">
      <c r="A16" s="4" t="n">
        <v>14</v>
      </c>
      <c r="B16" s="4" t="inlineStr">
        <is>
          <t>pureseed</t>
        </is>
      </c>
      <c r="C16" s="4" t="inlineStr">
        <is>
          <t>Pure Seed เมล็ดฟักทองอบ</t>
        </is>
      </c>
      <c r="D16" s="4" t="inlineStr">
        <is>
          <t>🥗 โภชนาการเสริม (ใช้ทั้งหญิง+ชาย)</t>
        </is>
      </c>
      <c r="E16" s="4" t="n">
        <v>500</v>
      </c>
      <c r="F16" s="4" t="inlineStr">
        <is>
          <t>วันละ 1 กำมือ · โรยข้าว ผสมซุป หรือปั่นรวมกับโปรตีนได้</t>
        </is>
      </c>
      <c r="G16" s="4" t="inlineStr">
        <is>
          <t>—</t>
        </is>
      </c>
      <c r="H16" s="4" t="inlineStr">
        <is>
          <t>โปรตีนพืช วิตามินอี และซิงก์ บำรุงทั้งไข่และสเปิร์ม</t>
        </is>
      </c>
      <c r="I16" s="4" t="inlineStr">
        <is>
          <t>แนะนำให้สามีทานด้วย (ซิงก์บำรุงสเปิร์ม)</t>
        </is>
      </c>
      <c r="J16" s="4" t="inlineStr">
        <is>
          <t>—</t>
        </is>
      </c>
      <c r="K16" s="4" t="inlineStr">
        <is>
          <t>leaflet #10</t>
        </is>
      </c>
      <c r="L16" s="4" t="inlineStr">
        <is>
          <t>✅ ครบ</t>
        </is>
      </c>
      <c r="M16" s="10" t="inlineStr"/>
      <c r="N16" s="10" t="inlineStr"/>
    </row>
    <row r="17">
      <c r="A17" s="4" t="n">
        <v>15</v>
      </c>
      <c r="B17" s="4" t="inlineStr">
        <is>
          <t>purered</t>
        </is>
      </c>
      <c r="C17" s="4" t="inlineStr">
        <is>
          <t>Pure Red ผงผักเพียวเรด</t>
        </is>
      </c>
      <c r="D17" s="4" t="inlineStr">
        <is>
          <t>🥗 โภชนาการเสริม</t>
        </is>
      </c>
      <c r="E17" s="4" t="n">
        <v>550</v>
      </c>
      <c r="F17" s="4" t="inlineStr">
        <is>
          <t>น้ำมะเขือเทศ 1 กล่อง + ผง 2 ช้อนชา · ช่วงท้องว่างดีที่สุด</t>
        </is>
      </c>
      <c r="G17" s="4" t="inlineStr">
        <is>
          <t>แครอท · ทับทิม · มะเขือเทศ · บีทรูท</t>
        </is>
      </c>
      <c r="H17" s="4" t="inlineStr">
        <is>
          <t>ต้านอนุมูลอิสระและช่วยการไหลเวียนเลือด มีโฟเลตช่วยสร้างเม็ดเลือด</t>
        </is>
      </c>
      <c r="I17" s="4" t="inlineStr">
        <is>
          <t>เปิดแล้วแช่เย็น</t>
        </is>
      </c>
      <c r="J17" s="4" t="inlineStr">
        <is>
          <t>—</t>
        </is>
      </c>
      <c r="K17" s="4" t="inlineStr">
        <is>
          <t>leaflet #12</t>
        </is>
      </c>
      <c r="L17" s="4" t="inlineStr">
        <is>
          <t>✅ ครบ</t>
        </is>
      </c>
      <c r="M17" s="10" t="inlineStr"/>
      <c r="N17" s="10" t="inlineStr"/>
    </row>
    <row r="18">
      <c r="A18" s="4" t="n">
        <v>16</v>
      </c>
      <c r="B18" s="4" t="inlineStr">
        <is>
          <t>puregreen</t>
        </is>
      </c>
      <c r="C18" s="4" t="inlineStr">
        <is>
          <t>Pure Green ผงผักเพียวกรีน</t>
        </is>
      </c>
      <c r="D18" s="4" t="inlineStr">
        <is>
          <t>🥗 โภชนาการเสริม</t>
        </is>
      </c>
      <c r="E18" s="4" t="n">
        <v>550</v>
      </c>
      <c r="F18" s="4" t="inlineStr">
        <is>
          <t>น้ำมะเขือเทศ 1 กล่อง + ผง 2 ช้อนชา</t>
        </is>
      </c>
      <c r="G18" s="4" t="inlineStr">
        <is>
          <t>อัลฟาฟา · สาหร่าย · มะรุม · วีทกลาส</t>
        </is>
      </c>
      <c r="H18" s="4" t="inlineStr">
        <is>
          <t>คลอโรฟิลล์สูง ช่วยดีท็อกซ์</t>
        </is>
      </c>
      <c r="I18" s="4" t="inlineStr">
        <is>
          <t>เปิดแล้วแช่เย็น</t>
        </is>
      </c>
      <c r="J18" s="4" t="inlineStr">
        <is>
          <t>❌ หลังใส่ตัวอ่อน · ตั้งครรภ์</t>
        </is>
      </c>
      <c r="K18" s="4" t="inlineStr">
        <is>
          <t>leaflet #13</t>
        </is>
      </c>
      <c r="L18" s="4" t="inlineStr">
        <is>
          <t>✅ ครบ</t>
        </is>
      </c>
      <c r="M18" s="10" t="inlineStr"/>
      <c r="N18" s="10" t="inlineStr"/>
    </row>
    <row r="19">
      <c r="A19" s="4" t="n">
        <v>17</v>
      </c>
      <c r="B19" s="4" t="inlineStr">
        <is>
          <t>ginger</t>
        </is>
      </c>
      <c r="C19" s="4" t="inlineStr">
        <is>
          <t>Gold Ginger &amp; ขิงดำ</t>
        </is>
      </c>
      <c r="D19" s="4" t="inlineStr">
        <is>
          <t>🥗 โภชนาการเสริม</t>
        </is>
      </c>
      <c r="E19" s="4" t="n">
        <v>650</v>
      </c>
      <c r="F19" s="4" t="inlineStr">
        <is>
          <t>ดื่มวันละ 1–2 แก้ว (ขิง 1 ซอง)</t>
        </is>
      </c>
      <c r="G19" s="4" t="inlineStr">
        <is>
          <t>—</t>
        </is>
      </c>
      <c r="H19" s="4" t="inlineStr">
        <is>
          <t>จินเจอรอลต้านอนุมูลอิสระ ช่วยให้มดลูกอุ่น</t>
        </is>
      </c>
      <c r="I19" s="4" t="inlineStr">
        <is>
          <t>ช่วงตั้งครรภ์ทานขิงดำได้ (ช่วยเรื่องแพ้ท้อง)</t>
        </is>
      </c>
      <c r="J19" s="4" t="inlineStr">
        <is>
          <t>—</t>
        </is>
      </c>
      <c r="K19" s="4" t="inlineStr">
        <is>
          <t>leaflet #14</t>
        </is>
      </c>
      <c r="L19" s="4" t="inlineStr">
        <is>
          <t>✅ ครบ</t>
        </is>
      </c>
      <c r="M19" s="10" t="inlineStr"/>
      <c r="N19" s="10" t="inlineStr"/>
    </row>
    <row r="20">
      <c r="A20" s="4" t="n">
        <v>18</v>
      </c>
      <c r="B20" s="4" t="inlineStr">
        <is>
          <t>probiotics</t>
        </is>
      </c>
      <c r="C20" s="4" t="inlineStr">
        <is>
          <t>Ferty Probiotics โพรไบโอติกส์</t>
        </is>
      </c>
      <c r="D20" s="4" t="inlineStr">
        <is>
          <t>🥗 โภชนาการเสริม</t>
        </is>
      </c>
      <c r="E20" s="4" t="n">
        <v>1990</v>
      </c>
      <c r="F20" s="4" t="inlineStr">
        <is>
          <t>วันละ 1 ซอง หลังอาหารเย็น 2 ชั่วโมง</t>
        </is>
      </c>
      <c r="G20" s="4" t="inlineStr">
        <is>
          <t>9 สายพันธุ์ HAWARU (สหรัฐฯ) + Morinaga (ญี่ปุ่น) + พรีไบโอติก</t>
        </is>
      </c>
      <c r="H20" s="4" t="inlineStr">
        <is>
          <t>ปรับสมดุลลำไส้และภายใน</t>
        </is>
      </c>
      <c r="I20" s="4" t="inlineStr">
        <is>
          <t>เก็บตู้เย็นเพื่อรักษาจุลินทรีย์</t>
        </is>
      </c>
      <c r="J20" s="4" t="inlineStr">
        <is>
          <t>—</t>
        </is>
      </c>
      <c r="K20" s="4" t="inlineStr">
        <is>
          <t>leaflet #15</t>
        </is>
      </c>
      <c r="L20" s="4" t="inlineStr">
        <is>
          <t>✅ ครบ</t>
        </is>
      </c>
      <c r="M20" s="10" t="inlineStr"/>
      <c r="N20" s="10" t="inlineStr"/>
    </row>
    <row r="21">
      <c r="A21" s="4" t="n">
        <v>19</v>
      </c>
      <c r="B21" s="4" t="inlineStr">
        <is>
          <t>safflower</t>
        </is>
      </c>
      <c r="C21" s="4" t="inlineStr">
        <is>
          <t>ดอกคำฝอยออร์แกนิค</t>
        </is>
      </c>
      <c r="D21" s="4" t="inlineStr">
        <is>
          <t>🥗 โภชนาการเสริม</t>
        </is>
      </c>
      <c r="E21" s="4" t="n">
        <v>250</v>
      </c>
      <c r="F21" s="4" t="inlineStr">
        <is>
          <t>ดอกคำฝอย 1 หยิบมือ + น้ำร้อน 250 มล. · ทานช่วงเริ่มมีประจำเดือน 7–10 วัน</t>
        </is>
      </c>
      <c r="G21" s="4" t="inlineStr">
        <is>
          <t>—</t>
        </is>
      </c>
      <c r="H21" s="4" t="inlineStr">
        <is>
          <t>คาร์ทามินช่วยการไหลเวียนและเคลียร์เลือดเก่าค้างในมดลูก</t>
        </is>
      </c>
      <c r="I21" s="4" t="inlineStr">
        <is>
          <t>—</t>
        </is>
      </c>
      <c r="J21" s="4" t="inlineStr">
        <is>
          <t>❌ วันไข่ตก · หลังใส่ตัวอ่อน · ตั้งครรภ์</t>
        </is>
      </c>
      <c r="K21" s="4" t="inlineStr">
        <is>
          <t>leaflet #19</t>
        </is>
      </c>
      <c r="L21" s="4" t="inlineStr">
        <is>
          <t>✅ ครบ</t>
        </is>
      </c>
      <c r="M21" s="10" t="inlineStr"/>
      <c r="N21" s="10" t="inlineStr"/>
    </row>
    <row r="22">
      <c r="A22" s="4" t="n">
        <v>20</v>
      </c>
      <c r="B22" s="4" t="inlineStr">
        <is>
          <t>castoroil</t>
        </is>
      </c>
      <c r="C22" s="4" t="inlineStr">
        <is>
          <t>น้ำมันละหุ่งออร์แกนิคสกัดเย็น (+ ผ้าคอตตอนแฟลนเนล)</t>
        </is>
      </c>
      <c r="D22" s="4" t="inlineStr">
        <is>
          <t>🤲 ใช้ภายนอก</t>
        </is>
      </c>
      <c r="E22" s="4" t="n">
        <v>385</v>
      </c>
      <c r="F22" s="4" t="inlineStr">
        <is>
          <t>ชุบผ้าคอตตอนแฟลนเนล วางบนหน้าท้อง + กระเป๋าน้ำร้อน 45–60 นาที · ทำช่วงหมดประจำเดือน 2–3 วัน/ครั้ง</t>
        </is>
      </c>
      <c r="G22" s="4" t="inlineStr">
        <is>
          <t>—</t>
        </is>
      </c>
      <c r="H22" s="4" t="inlineStr">
        <is>
          <t>แพ็คน้ำมันละหุ่ง ช่วยการไหลเวียนเลือดบริเวณมดลูก</t>
        </is>
      </c>
      <c r="I22" s="4" t="inlineStr">
        <is>
          <t>‼️ ใช้ภายนอกเท่านั้น ห้ามรับประทาน · ผ้าคอตตอนแฟลนเนลแยกจำหน่าย ฿295</t>
        </is>
      </c>
      <c r="J22" s="4" t="inlineStr">
        <is>
          <t>❌ วันไข่ตก · หลังใส่ตัวอ่อน · ตั้งครรภ์</t>
        </is>
      </c>
      <c r="K22" s="4" t="inlineStr">
        <is>
          <t>leaflet #18</t>
        </is>
      </c>
      <c r="L22" s="4" t="inlineStr">
        <is>
          <t>✅ ครบ</t>
        </is>
      </c>
      <c r="M22" s="10" t="inlineStr"/>
      <c r="N22" s="10" t="inlineStr"/>
    </row>
    <row r="23">
      <c r="A23" s="4" t="n">
        <v>21</v>
      </c>
      <c r="B23" s="4" t="inlineStr">
        <is>
          <t>mzall</t>
        </is>
      </c>
      <c r="C23" s="4" t="inlineStr">
        <is>
          <t>M-Z All</t>
        </is>
      </c>
      <c r="D23" s="4" t="inlineStr">
        <is>
          <t>♂ บำรุงชาย</t>
        </is>
      </c>
      <c r="E23" s="4" t="n">
        <v>1990</v>
      </c>
      <c r="F23" s="4" t="inlineStr">
        <is>
          <t>วันละ 1 เม็ด ก่อนนอนหรือเวลาใดก็ได้ (บำรุงต่อเนื่อง) · สูตรเร่งรัด 2 เม็ด ก่อนมีเพศสัมพันธ์ 45 นาที</t>
        </is>
      </c>
      <c r="G23" s="4" t="inlineStr">
        <is>
          <t>—</t>
        </is>
      </c>
      <c r="H23" s="4" t="inlineStr">
        <is>
          <t>วิตามินรวมบำรุงชาย</t>
        </is>
      </c>
      <c r="I23" s="4" t="inlineStr">
        <is>
          <t>—</t>
        </is>
      </c>
      <c r="J23" s="4" t="inlineStr">
        <is>
          <t>—</t>
        </is>
      </c>
      <c r="K23" s="4" t="inlineStr">
        <is>
          <t>Prod Ins.docx</t>
        </is>
      </c>
      <c r="L23" s="4" t="inlineStr">
        <is>
          <t>🚫 เคลม "กันมะเร็งต่อมลูกหมาก/หย่อนสมรรถภาพ/ไม่มีผลข้างเคียง" ถูกบล็อก — ต้องมีเลข ฆอ.</t>
        </is>
      </c>
      <c r="M23" s="10" t="inlineStr"/>
      <c r="N23" s="10" t="inlineStr"/>
    </row>
    <row r="24">
      <c r="A24" s="4" t="n">
        <v>22</v>
      </c>
      <c r="B24" s="4" t="inlineStr">
        <is>
          <t>ferta</t>
        </is>
      </c>
      <c r="C24" s="4" t="inlineStr">
        <is>
          <t>Ferta เวย์โปรตีน</t>
        </is>
      </c>
      <c r="D24" s="4" t="inlineStr">
        <is>
          <t>♂ บำรุงชาย</t>
        </is>
      </c>
      <c r="E24" s="4" t="n">
        <v>1980</v>
      </c>
      <c r="F24" s="4" t="inlineStr">
        <is>
          <t>วันละ 2 ซอง ชงกับน้ำเปล่า ก่อนออกกำลังกาย หรือเวลาใดก็ได้</t>
        </is>
      </c>
      <c r="G24" s="4" t="inlineStr">
        <is>
          <t>—</t>
        </is>
      </c>
      <c r="H24" s="4" t="inlineStr">
        <is>
          <t>โปรตีนสำหรับฝ่ายชาย</t>
        </is>
      </c>
      <c r="I24" s="4" t="inlineStr">
        <is>
          <t>—</t>
        </is>
      </c>
      <c r="J24" s="4" t="inlineStr">
        <is>
          <t>—</t>
        </is>
      </c>
      <c r="K24" s="4" t="inlineStr">
        <is>
          <t>Prod Ins.docx</t>
        </is>
      </c>
      <c r="L24" s="4" t="inlineStr">
        <is>
          <t>✅ ครบ</t>
        </is>
      </c>
      <c r="M24" s="10" t="inlineStr"/>
      <c r="N24" s="10" t="inlineStr"/>
    </row>
    <row r="25">
      <c r="A25" s="4" t="n">
        <v>23</v>
      </c>
      <c r="B25" s="4" t="inlineStr">
        <is>
          <t>motila1</t>
        </is>
      </c>
      <c r="C25" s="4" t="inlineStr">
        <is>
          <t>Motila1 โมทิล่าวัน</t>
        </is>
      </c>
      <c r="D25" s="4" t="inlineStr">
        <is>
          <t>♂ บำรุงชาย — ⛔ ถอดออกชั่วคราว</t>
        </is>
      </c>
      <c r="E25" s="4" t="n">
        <v>1990</v>
      </c>
      <c r="F25" s="4" t="inlineStr">
        <is>
          <t>❓ ยังไม่มีข้อมูล</t>
        </is>
      </c>
      <c r="G25" s="4" t="inlineStr">
        <is>
          <t>—</t>
        </is>
      </c>
      <c r="H25" s="4" t="inlineStr">
        <is>
          <t>บำรุงสเปิร์มสำหรับฝ่ายชาย</t>
        </is>
      </c>
      <c r="I25" s="4" t="inlineStr">
        <is>
          <t>—</t>
        </is>
      </c>
      <c r="J25" s="4" t="inlineStr">
        <is>
          <t>—</t>
        </is>
      </c>
      <c r="K25" s="4" t="inlineStr">
        <is>
          <t>เว็บไซต์</t>
        </is>
      </c>
      <c r="L25" s="4" t="inlineStr">
        <is>
          <t>⏳ ไม่มีวิธีรับประทาน — ถอดออกจากคำแนะนำจนกว่าจะได้ข้อมูล</t>
        </is>
      </c>
      <c r="M25" s="10" t="inlineStr"/>
      <c r="N25" s="10" t="inlineStr"/>
    </row>
    <row r="27">
      <c r="A27" s="11" t="inlineStr">
        <is>
          <t>ตัวอย่างการกรอก →</t>
        </is>
      </c>
      <c r="M27" s="2" t="inlineStr">
        <is>
          <t>แก้เป็น: วันละ 1 เม็ด หลังอาหารเช้า</t>
        </is>
      </c>
      <c r="N27" s="2" t="inlineStr">
        <is>
          <t>ราคาขึ้นใหม่ 1 ส.ค. 69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52" customWidth="1" min="4" max="4"/>
    <col width="20" customWidth="1" min="5" max="5"/>
    <col width="46" customWidth="1" min="6" max="6"/>
    <col width="28" customWidth="1" min="7" max="7"/>
    <col width="28" customWidth="1" min="8" max="8"/>
  </cols>
  <sheetData>
    <row r="1" ht="22" customHeight="1">
      <c r="A1" s="1" t="inlineStr">
        <is>
          <t>เงื่อนไขการแนะนำสินค้า — ตรรกะจริงในระบบ</t>
        </is>
      </c>
    </row>
    <row r="2" ht="34" customHeight="1">
      <c r="A2" s="3" t="inlineStr">
        <is>
          <t>โปรไฟล์ผู้ใช้</t>
        </is>
      </c>
      <c r="B2" s="3" t="inlineStr">
        <is>
          <t>เงื่อนไขที่ระบบเช็ก</t>
        </is>
      </c>
      <c r="C2" s="3" t="inlineStr">
        <is>
          <t>ระบบทำอะไร</t>
        </is>
      </c>
      <c r="D2" s="3" t="inlineStr">
        <is>
          <t>สินค้าที่แนะนำ</t>
        </is>
      </c>
      <c r="E2" s="3" t="inlineStr">
        <is>
          <t>แสดงผลอย่างไร</t>
        </is>
      </c>
      <c r="F2" s="3" t="inlineStr">
        <is>
          <t>หมายเหตุ / ข้อความกำกับ</t>
        </is>
      </c>
      <c r="G2" s="3" t="inlineStr">
        <is>
          <t>✍️ ทีมยืนยัน (ถูก / แก้เป็น...)</t>
        </is>
      </c>
      <c r="H2" s="3" t="inlineStr">
        <is>
          <t>✍️ หมายเหตุจากทีม</t>
        </is>
      </c>
    </row>
    <row r="3">
      <c r="A3" s="4" t="inlineStr">
        <is>
          <t>ทุกโปรไฟล์หญิง</t>
        </is>
      </c>
      <c r="B3" s="4" t="inlineStr">
        <is>
          <t>ช่วงชีวิต ≠ ฝ่ายชาย</t>
        </is>
      </c>
      <c r="C3" s="4" t="inlineStr">
        <is>
          <t>⭐ แกนหลัก 4 ตัว</t>
        </is>
      </c>
      <c r="D3" s="4" t="inlineStr">
        <is>
          <t>OvaAll + Ferty + Colla Telo + Ferti 9 Oil</t>
        </is>
      </c>
      <c r="E3" s="4" t="inlineStr">
        <is>
          <t>กางให้เห็นทันที</t>
        </is>
      </c>
      <c r="F3" s="4" t="inlineStr">
        <is>
          <t>—</t>
        </is>
      </c>
      <c r="G3" s="10" t="inlineStr"/>
      <c r="H3" s="10" t="inlineStr"/>
    </row>
    <row r="4">
      <c r="A4" s="4" t="inlineStr">
        <is>
          <t>มี PCOS</t>
        </is>
      </c>
      <c r="B4" s="4" t="inlineStr">
        <is>
          <t>PCOS = ใช่/ไม่แน่ใจ</t>
        </is>
      </c>
      <c r="C4" s="4" t="inlineStr">
        <is>
          <t>🎯 เพิ่ม PCO-VIT</t>
        </is>
      </c>
      <c r="D4" s="4" t="inlineStr">
        <is>
          <t>PCO-VIT</t>
        </is>
      </c>
      <c r="E4" s="4" t="inlineStr">
        <is>
          <t>กางให้เห็นทันที</t>
        </is>
      </c>
      <c r="F4" s="4" t="inlineStr">
        <is>
          <t>ข้อความกำกับ: "เน้นบำรุงไข่ + งดหวานเพื่อสมดุลฮอร์โมน (คำแนะนำทั่วไป ไม่ใช่การรักษาโรค)"</t>
        </is>
      </c>
      <c r="G4" s="10" t="inlineStr"/>
      <c r="H4" s="10" t="inlineStr"/>
    </row>
    <row r="5">
      <c r="A5" s="4" t="inlineStr">
        <is>
          <t>มีบุตรยาก หรือ วางแผน IUI/IVF/ICSI</t>
        </is>
      </c>
      <c r="B5" s="4" t="inlineStr">
        <is>
          <t>ช่วงชีวิต = มีบุตรยาก  หรือ  แผน ART ≠ ยังไม่</t>
        </is>
      </c>
      <c r="C5" s="4" t="inlineStr">
        <is>
          <t>🎯 เพิ่ม A.O.S</t>
        </is>
      </c>
      <c r="D5" s="4" t="inlineStr">
        <is>
          <t>A.O.S</t>
        </is>
      </c>
      <c r="E5" s="4" t="inlineStr">
        <is>
          <t>กางให้เห็นทันที</t>
        </is>
      </c>
      <c r="F5" s="4" t="inlineStr">
        <is>
          <t>+ กล่องเตือน "ปรึกษาแพทย์ที่ดูแลคุณก่อนเริ่มอาหารเสริมทุกตัว" และลิสต์ที่ต้องหยุดหลังใส่ตัวอ่อน</t>
        </is>
      </c>
      <c r="G5" s="10" t="inlineStr"/>
      <c r="H5" s="10" t="inlineStr"/>
    </row>
    <row r="6">
      <c r="A6" s="4" t="inlineStr">
        <is>
          <t>ทุกโปรไฟล์หญิง</t>
        </is>
      </c>
      <c r="B6" s="4" t="inlineStr">
        <is>
          <t>—</t>
        </is>
      </c>
      <c r="C6" s="4" t="inlineStr">
        <is>
          <t>🎯 เสริมประจำ</t>
        </is>
      </c>
      <c r="D6" s="4" t="inlineStr">
        <is>
          <t>Varginaree + Night Shot</t>
        </is>
      </c>
      <c r="E6" s="4" t="inlineStr">
        <is>
          <t>กางให้เห็นทันที</t>
        </is>
      </c>
      <c r="F6" s="4" t="inlineStr">
        <is>
          <t>—</t>
        </is>
      </c>
      <c r="G6" s="10" t="inlineStr"/>
      <c r="H6" s="10" t="inlineStr"/>
    </row>
    <row r="7">
      <c r="A7" s="4" t="inlineStr">
        <is>
          <t>ทุกโปรไฟล์หญิง</t>
        </is>
      </c>
      <c r="B7" s="4" t="inlineStr">
        <is>
          <t>—</t>
        </is>
      </c>
      <c r="C7" s="4" t="inlineStr">
        <is>
          <t>🥗 โภชนาการเสริม 11 ตัว</t>
        </is>
      </c>
      <c r="D7" s="4" t="inlineStr">
        <is>
          <t>Phyto Crystal C · Pure Seed · Good Grain · Pure Black · Pure Red · Pure Green · น้ำมะกรูด Shot · น้ำมะกรูด 70% · Gold Ginger &amp; ขิงดำ · Ferty Probiotics · ดอกคำฝอย</t>
        </is>
      </c>
      <c r="E7" s="4" t="inlineStr">
        <is>
          <t>พับไว้ (กดกางได้)</t>
        </is>
      </c>
      <c r="F7" s="4" t="inlineStr">
        <is>
          <t>ไม่ยัดเยียด — ผู้ใช้เลือกดูเอง</t>
        </is>
      </c>
      <c r="G7" s="10" t="inlineStr"/>
      <c r="H7" s="10" t="inlineStr"/>
    </row>
    <row r="8">
      <c r="A8" s="4" t="inlineStr">
        <is>
          <t>ทุกโปรไฟล์หญิง</t>
        </is>
      </c>
      <c r="B8" s="4" t="inlineStr">
        <is>
          <t>—</t>
        </is>
      </c>
      <c r="C8" s="4" t="inlineStr">
        <is>
          <t>🤲 ใช้ภายนอก</t>
        </is>
      </c>
      <c r="D8" s="4" t="inlineStr">
        <is>
          <t>แพ็คน้ำมันละหุ่ง</t>
        </is>
      </c>
      <c r="E8" s="4" t="inlineStr">
        <is>
          <t>พับไว้ (กดกางได้)</t>
        </is>
      </c>
      <c r="F8" s="4" t="inlineStr">
        <is>
          <t>ระบุชัด "ห้ามรับประทาน"</t>
        </is>
      </c>
      <c r="G8" s="10" t="inlineStr"/>
      <c r="H8" s="10" t="inlineStr"/>
    </row>
    <row r="9">
      <c r="A9" s="4" t="inlineStr">
        <is>
          <t>ตั้งครรภ์</t>
        </is>
      </c>
      <c r="B9" s="4" t="inlineStr">
        <is>
          <t>ช่วงชีวิต = ตั้งครรภ์</t>
        </is>
      </c>
      <c r="C9" s="4" t="inlineStr">
        <is>
          <t>ตัดออกอัตโนมัติ</t>
        </is>
      </c>
      <c r="D9" s="4" t="inlineStr">
        <is>
          <t>A.O.S · น้ำมะกรูด Shot · Pure Green · Varginaree · ดอกคำฝอย · น้ำมันละหุ่ง</t>
        </is>
      </c>
      <c r="E9" s="4" t="inlineStr">
        <is>
          <t>ไม่แสดงเลย</t>
        </is>
      </c>
      <c r="F9" s="4" t="inlineStr">
        <is>
          <t>ตาม Safety Matrix — ดูชีต 3</t>
        </is>
      </c>
      <c r="G9" s="10" t="inlineStr"/>
      <c r="H9" s="10" t="inlineStr"/>
    </row>
    <row r="10">
      <c r="A10" s="4" t="inlineStr">
        <is>
          <t>ให้นมบุตร</t>
        </is>
      </c>
      <c r="B10" s="4" t="inlineStr">
        <is>
          <t>ช่วงชีวิต = ให้นม</t>
        </is>
      </c>
      <c r="C10" s="4" t="inlineStr">
        <is>
          <t>ตัดออกอัตโนมัติ</t>
        </is>
      </c>
      <c r="D10" s="4" t="inlineStr">
        <is>
          <t>Varginaree</t>
        </is>
      </c>
      <c r="E10" s="4" t="inlineStr">
        <is>
          <t>ไม่แสดงเลย</t>
        </is>
      </c>
      <c r="F10" s="4" t="inlineStr">
        <is>
          <t>ตาม Safety Matrix — ดูชีต 3</t>
        </is>
      </c>
      <c r="G10" s="10" t="inlineStr"/>
      <c r="H10" s="10" t="inlineStr"/>
    </row>
    <row r="11">
      <c r="A11" s="4" t="inlineStr">
        <is>
          <t>ฝ่ายชาย</t>
        </is>
      </c>
      <c r="B11" s="4" t="inlineStr">
        <is>
          <t>ช่วงชีวิต = ฝ่ายชาย</t>
        </is>
      </c>
      <c r="C11" s="4" t="inlineStr">
        <is>
          <t>ชุดบำรุงชาย</t>
        </is>
      </c>
      <c r="D11" s="4" t="inlineStr">
        <is>
          <t>M-Z All + Ferta + Pure Seed</t>
        </is>
      </c>
      <c r="E11" s="4" t="inlineStr">
        <is>
          <t>กางให้เห็นทันที</t>
        </is>
      </c>
      <c r="F11" s="4" t="inlineStr">
        <is>
          <t>Motila1 ถอดออกชั่วคราว (ยังไม่มีวิธีรับประทาน)</t>
        </is>
      </c>
      <c r="G11" s="10" t="inlineStr"/>
      <c r="H11" s="10" t="inlineStr"/>
    </row>
    <row r="13">
      <c r="A13" s="12" t="inlineStr">
        <is>
          <t>❓ ขอให้ตรวจเป็นพิเศษ: การจัดว่าอะไรคือ "แกนหลัก" กับ "เสริม" ถูกต้องตามหลักของครูก้อยไหม — จุดนี้มีผลต่อสิ่งที่ลูกค้าเห็นก่อน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56" customWidth="1" min="3" max="3"/>
    <col width="22" customWidth="1" min="4" max="4"/>
    <col width="26" customWidth="1" min="5" max="5"/>
    <col width="30" customWidth="1" min="6" max="6"/>
  </cols>
  <sheetData>
    <row r="1" ht="22" customHeight="1">
      <c r="A1" s="1" t="inlineStr">
        <is>
          <t>Safety Matrix — กฎ "หยุดเมื่อไหร่" ที่ระบบบังคับใช้</t>
        </is>
      </c>
    </row>
    <row r="2" ht="34" customHeight="1">
      <c r="A2" s="3" t="inlineStr">
        <is>
          <t>สถานะผู้ใช้</t>
        </is>
      </c>
      <c r="B2" s="3" t="inlineStr">
        <is>
          <t>ต้องหยุด / ห้าม</t>
        </is>
      </c>
      <c r="C2" s="3" t="inlineStr">
        <is>
          <t>ระบบทำอะไรจริง</t>
        </is>
      </c>
      <c r="D2" s="3" t="inlineStr">
        <is>
          <t>ที่มาของกฎ</t>
        </is>
      </c>
      <c r="E2" s="3" t="inlineStr">
        <is>
          <t>✍️ เภสัชกร/ทีมยืนยัน</t>
        </is>
      </c>
      <c r="F2" s="3" t="inlineStr">
        <is>
          <t>✍️ ต้องเพิ่ม/แก้อะไร</t>
        </is>
      </c>
    </row>
    <row r="3">
      <c r="A3" s="4" t="inlineStr">
        <is>
          <t>วันไข่ตก</t>
        </is>
      </c>
      <c r="B3" s="4" t="inlineStr">
        <is>
          <t>ดอกคำฝอย · แพ็คน้ำมันละหุ่ง</t>
        </is>
      </c>
      <c r="C3" s="4" t="inlineStr">
        <is>
          <t>แสดงเป็นคำเตือน (ยังแสดงสินค้าอยู่ เพราะระบบไม่รู้ว่าวันนี้เป็นวันไข่ตกของผู้ใช้หรือไม่)</t>
        </is>
      </c>
      <c r="D3" s="4" t="inlineStr">
        <is>
          <t>เอกสารแบรนด์</t>
        </is>
      </c>
      <c r="E3" s="10" t="inlineStr"/>
      <c r="F3" s="10" t="inlineStr"/>
    </row>
    <row r="4">
      <c r="A4" s="4" t="inlineStr">
        <is>
          <t>หลังใส่ตัวอ่อน (embryo transfer)</t>
        </is>
      </c>
      <c r="B4" s="4" t="inlineStr">
        <is>
          <t>A.O.S · น้ำมะกรูด Shot 100% · Pure Green · Varginaree · ดอกคำฝอย · น้ำมันละหุ่ง
Ferti 9 Oil → ลดเหลือวันละ 1–2 เม็ด</t>
        </is>
      </c>
      <c r="C4" s="4" t="inlineStr">
        <is>
          <t>แสดงบรรทัดแดงใต้สินค้าแต่ละตัว + กล่องเตือนรวมสำหรับผู้ที่วางแผน ART</t>
        </is>
      </c>
      <c r="D4" s="4" t="inlineStr">
        <is>
          <t>เอกสารแบรนด์</t>
        </is>
      </c>
      <c r="E4" s="10" t="inlineStr"/>
      <c r="F4" s="10" t="inlineStr"/>
    </row>
    <row r="5">
      <c r="A5" s="4" t="inlineStr">
        <is>
          <t>ตั้งครรภ์</t>
        </is>
      </c>
      <c r="B5" s="4" t="inlineStr">
        <is>
          <t>A.O.S · น้ำมะกรูด Shot · Pure Green · Varginaree · ดอกคำฝอย · น้ำมันละหุ่ง</t>
        </is>
      </c>
      <c r="C5" s="4" t="inlineStr">
        <is>
          <t>✅ ตัดออกจากคำแนะนำอัตโนมัติ (ไม่แสดงเลย)</t>
        </is>
      </c>
      <c r="D5" s="4" t="inlineStr">
        <is>
          <t>เอกสารแบรนด์</t>
        </is>
      </c>
      <c r="E5" s="10" t="inlineStr"/>
      <c r="F5" s="10" t="inlineStr"/>
    </row>
    <row r="6">
      <c r="A6" s="4" t="inlineStr">
        <is>
          <t>ให้นมบุตร</t>
        </is>
      </c>
      <c r="B6" s="4" t="inlineStr">
        <is>
          <t>Varginaree</t>
        </is>
      </c>
      <c r="C6" s="4" t="inlineStr">
        <is>
          <t>✅ ตัดออกจากคำแนะนำอัตโนมัติ</t>
        </is>
      </c>
      <c r="D6" s="4" t="inlineStr">
        <is>
          <t>เอกสารแบรนด์</t>
        </is>
      </c>
      <c r="E6" s="10" t="inlineStr"/>
      <c r="F6" s="10" t="inlineStr"/>
    </row>
    <row r="7">
      <c r="A7" s="4" t="inlineStr">
        <is>
          <t>ทุกคน</t>
        </is>
      </c>
      <c r="B7" s="4" t="inlineStr">
        <is>
          <t>น้ำมันละหุ่ง = ใช้ภายนอก ห้ามรับประทาน</t>
        </is>
      </c>
      <c r="C7" s="4" t="inlineStr">
        <is>
          <t>แสดงข้อความ "‼️ ใช้ภายนอกเท่านั้น ห้ามรับประทาน" เสมอ + มีการทดสอบอัตโนมัติกันข้อความนี้หาย</t>
        </is>
      </c>
      <c r="D7" s="4" t="inlineStr">
        <is>
          <t>เอกสารแบรนด์</t>
        </is>
      </c>
      <c r="E7" s="10" t="inlineStr"/>
      <c r="F7" s="10" t="inlineStr"/>
    </row>
    <row r="8">
      <c r="A8" s="4" t="inlineStr">
        <is>
          <t>แพ้อาหารทะเล</t>
        </is>
      </c>
      <c r="B8" s="4" t="inlineStr">
        <is>
          <t>Colla Telo (มีส่วนประกอบจากปลา)</t>
        </is>
      </c>
      <c r="C8" s="4" t="inlineStr">
        <is>
          <t>แสดงข้อความเตือนใต้สินค้าเสมอ</t>
        </is>
      </c>
      <c r="D8" s="4" t="inlineStr">
        <is>
          <t>เอกสารแบรนด์</t>
        </is>
      </c>
      <c r="E8" s="10" t="inlineStr"/>
      <c r="F8" s="10" t="inlineStr"/>
    </row>
    <row r="9">
      <c r="A9" s="4" t="inlineStr">
        <is>
          <t>โรคกระเพาะ / กรดไหลย้อน</t>
        </is>
      </c>
      <c r="B9" s="4" t="inlineStr">
        <is>
          <t>น้ำมะกรูด Shot ไม่แนะนำ</t>
        </is>
      </c>
      <c r="C9" s="4" t="inlineStr">
        <is>
          <t>แสดงข้อความเตือนใต้สินค้าเสมอ</t>
        </is>
      </c>
      <c r="D9" s="4" t="inlineStr">
        <is>
          <t>เอกสารแบรนด์</t>
        </is>
      </c>
      <c r="E9" s="10" t="inlineStr"/>
      <c r="F9" s="10" t="inlineStr"/>
    </row>
    <row r="10">
      <c r="A10" s="4" t="inlineStr">
        <is>
          <t>อยู่ระหว่างรักษากับแพทย์ (ART)</t>
        </is>
      </c>
      <c r="B10" s="4" t="inlineStr">
        <is>
          <t>ปรึกษาแพทย์ก่อนเริ่มทุกตัว (อาจตีกับยา)</t>
        </is>
      </c>
      <c r="C10" s="4" t="inlineStr">
        <is>
          <t>กล่องเตือนด้านบนผลลัพธ์ + ในแผน 90 วัน เดือนที่ 1 เปลี่ยนเป็น "ปรึกษาแพทย์ก่อนเริ่มวิตามินเสริมทุกชนิด"</t>
        </is>
      </c>
      <c r="D10" s="4" t="inlineStr">
        <is>
          <t>เอกสารแบรนด์ + red-team</t>
        </is>
      </c>
      <c r="E10" s="10" t="inlineStr"/>
      <c r="F10" s="10" t="inlineStr"/>
    </row>
    <row r="12" ht="34" customHeight="1">
      <c r="A12" s="13" t="inlineStr">
        <is>
          <t>⚠️ ระบบไม่ถามว่า "ใส่ตัวอ่อนไปแล้วหรือยัง" จึงยังไม่ตัดรายการกลุ่มนั้นออกอัตโนมัติ — ใช้วิธีแสดงคำเตือนแทน
ถ้าทีมต้องการให้ตัดออกจริง ต้องเพิ่มคำถามในแบบสอบถาม แจ้งได้เลย</t>
        </is>
      </c>
    </row>
  </sheetData>
  <mergeCells count="1">
    <mergeCell ref="A12:F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30" customWidth="1" min="1" max="1"/>
    <col width="86" customWidth="1" min="2" max="2"/>
    <col width="34" customWidth="1" min="3" max="3"/>
    <col width="20" customWidth="1" min="4" max="4"/>
    <col width="34" customWidth="1" min="5" max="5"/>
    <col width="34" customWidth="1" min="6" max="6"/>
  </cols>
  <sheetData>
    <row r="1" ht="22" customHeight="1">
      <c r="A1" s="1" t="inlineStr">
        <is>
          <t>แผน 90 วัน — เนื้อหาที่ผู้ใช้ได้รับจริง</t>
        </is>
      </c>
    </row>
    <row r="2" ht="34" customHeight="1">
      <c r="A2" s="3" t="inlineStr">
        <is>
          <t>โปรไฟล์</t>
        </is>
      </c>
      <c r="B2" s="3" t="inlineStr">
        <is>
          <t>ช่วง</t>
        </is>
      </c>
      <c r="C2" s="3" t="inlineStr">
        <is>
          <t>หัวข้อ</t>
        </is>
      </c>
      <c r="D2" s="3" t="inlineStr">
        <is>
          <t>สิ่งที่ผู้ใช้ได้อ่าน</t>
        </is>
      </c>
      <c r="E2" s="3" t="inlineStr">
        <is>
          <t>✍️ ทีมยืนยัน</t>
        </is>
      </c>
      <c r="F2" s="3" t="inlineStr">
        <is>
          <t>✍️ ต้องแก้เป็น</t>
        </is>
      </c>
    </row>
    <row r="3">
      <c r="A3" s="4" t="inlineStr">
        <is>
          <t>หญิง (ทั่วไป / PCOS)</t>
        </is>
      </c>
      <c r="B3" s="4" t="inlineStr">
        <is>
          <t>เดือนที่ 1</t>
        </is>
      </c>
      <c r="C3" s="4" t="inlineStr">
        <is>
          <t>ปูพื้นฐานบำรุงไข่</t>
        </is>
      </c>
      <c r="D3" s="4" t="inlineStr">
        <is>
          <t>1) ยึดหลัก 70% อาหาร 30% วิตามิน
2) กินโปรตีนให้ถึงเป้า (คำนวณจากน้ำหนักตัว)
3) นอนก่อน 4 ทุ่ม (22:00) 7–9 ชม.
4) ถ้าต้องการเสริม: OvaAll วันละ 1 ซองพร้อมอาหาร</t>
        </is>
      </c>
      <c r="E3" s="10" t="inlineStr"/>
      <c r="F3" s="10" t="inlineStr"/>
    </row>
    <row r="4">
      <c r="A4" s="4" t="inlineStr">
        <is>
          <t>หญิง (ทั่วไป / PCOS)</t>
        </is>
      </c>
      <c r="B4" s="4" t="inlineStr">
        <is>
          <t>เดือนที่ 2</t>
        </is>
      </c>
      <c r="C4" s="4" t="inlineStr">
        <is>
          <t>เร่งบำรุงไข่ + สมดุลฮอร์โมน</t>
        </is>
      </c>
      <c r="D4" s="4" t="inlineStr">
        <is>
          <t>1) งดหวาน/คาเฟอีน/น้ำเย็น (ถ้ามี PCOS จะเน้นว่า "สำคัญมาก")
2) ออกกำลังกายเบา (เดิน/โยคะ) 3 วัน/สัปดาห์
3) เพิ่มอะโวคาโด + น้ำผึ้งชันโรง ครึ่งผล/วัน
4) ถ้าต้องการเสริม: Ferty ช่วยให้โปรตีนครบ (+ PCO-VIT ถ้ามี PCOS)</t>
        </is>
      </c>
      <c r="E4" s="10" t="inlineStr"/>
      <c r="F4" s="10" t="inlineStr"/>
    </row>
    <row r="5">
      <c r="A5" s="4" t="inlineStr">
        <is>
          <t>หญิง (ทั่วไป / PCOS)</t>
        </is>
      </c>
      <c r="B5" s="4" t="inlineStr">
        <is>
          <t>เดือนที่ 3</t>
        </is>
      </c>
      <c r="C5" s="4" t="inlineStr">
        <is>
          <t>เตรียมพร้อมสูงสุด</t>
        </is>
      </c>
      <c r="D5" s="4" t="inlineStr">
        <is>
          <t>1) ดูแลผนังมดลูกด้วยโภชนาการ (ธาตุเหล็ก/โฟเลต/วิตามินอี จากอาหาร) — หลีกเลี่ยงการประคบหรือสมุนไพรกระตุ้นมดลูกช่วงลุ้นผล
2) จดบันทึกรอบเดือน/วันไข่ตกให้แม่นขึ้น
3) คำแนะนำพบแพทย์ตามอายุ (ดูแถวล่าง)</t>
        </is>
      </c>
      <c r="E5" s="10" t="inlineStr"/>
      <c r="F5" s="10" t="inlineStr"/>
    </row>
    <row r="6">
      <c r="A6" s="4" t="inlineStr">
        <is>
          <t>หญิงที่ทำ ART (IUI/IVF/ICSI)</t>
        </is>
      </c>
      <c r="B6" s="4" t="inlineStr">
        <is>
          <t>เดือนที่ 1</t>
        </is>
      </c>
      <c r="C6" s="4" t="inlineStr">
        <is>
          <t>ปูพื้นฐาน — แต่หมอมาก่อน</t>
        </is>
      </c>
      <c r="D6" s="4" t="inlineStr">
        <is>
          <t>ข้อ 1 เปลี่ยนเป็น "ปรึกษาแพทย์ที่ดูแลคุณก่อนเริ่มวิตามินเสริมทุกชนิด (เพราะอาจมีผลต่อยาที่ได้รับ)"
ข้อ 4 เปลี่ยนเป็น "เมื่อแพทย์อนุญาต จึงเริ่มวิตามินบำรุง เช่น OvaAll"</t>
        </is>
      </c>
      <c r="E6" s="10" t="inlineStr"/>
      <c r="F6" s="10" t="inlineStr"/>
    </row>
    <row r="7">
      <c r="A7" s="4" t="inlineStr">
        <is>
          <t>หญิงที่ทำ ART (IUI/IVF/ICSI)</t>
        </is>
      </c>
      <c r="B7" s="4" t="inlineStr">
        <is>
          <t>เดือนที่ 3</t>
        </is>
      </c>
      <c r="C7" s="4" t="inlineStr">
        <is>
          <t>เตรียมพร้อมก่อนทำ (ระบุชื่อวิธี)</t>
        </is>
      </c>
      <c r="D7" s="4" t="inlineStr">
        <is>
          <t>ข้อ 3 เปลี่ยนเป็น "ปรึกษาแพทย์เรื่องจังหวะเก็บไข่/ย้ายตัวอ่อน"</t>
        </is>
      </c>
      <c r="E7" s="10" t="inlineStr"/>
      <c r="F7" s="10" t="inlineStr"/>
    </row>
    <row r="8">
      <c r="A8" s="4" t="inlineStr">
        <is>
          <t>ฝ่ายชาย</t>
        </is>
      </c>
      <c r="B8" s="4" t="inlineStr">
        <is>
          <t>เดือนที่ 1</t>
        </is>
      </c>
      <c r="C8" s="4" t="inlineStr">
        <is>
          <t>ปรับพื้นฐานฝ่ายชาย</t>
        </is>
      </c>
      <c r="D8" s="4" t="inlineStr">
        <is>
          <t>1) เพิ่มโปรตีน + เมล็ดฟักทอง (ซิงก์) ในมื้ออาหาร
2) งดเหล้า-บุหรี่ ลดความร้อนบริเวณอัณฑะ
3) นอนก่อน 4 ทุ่ม 7–9 ชม.
4) ถ้าต้องการเสริม: M-Z All วันละ 1 เม็ดก่อนนอน</t>
        </is>
      </c>
      <c r="E8" s="10" t="inlineStr"/>
      <c r="F8" s="10" t="inlineStr"/>
    </row>
    <row r="9">
      <c r="A9" s="4" t="inlineStr">
        <is>
          <t>ฝ่ายชาย</t>
        </is>
      </c>
      <c r="B9" s="4" t="inlineStr">
        <is>
          <t>เดือนที่ 2</t>
        </is>
      </c>
      <c r="C9" s="4" t="inlineStr">
        <is>
          <t>เร่งบำรุงสเปิร์ม</t>
        </is>
      </c>
      <c r="D9" s="4" t="inlineStr">
        <is>
          <t>1) ออกกำลังกายสม่ำเสมอ ไม่หักโหม
2) ลดน้ำตาล/อาหารแปรรูป
3) ถ้าต้องการเสริมโปรตีน: Ferta วันละ 2 ซอง ชงกับน้ำเปล่า</t>
        </is>
      </c>
      <c r="E9" s="10" t="inlineStr"/>
      <c r="F9" s="10" t="inlineStr"/>
    </row>
    <row r="10">
      <c r="A10" s="4" t="inlineStr">
        <is>
          <t>ฝ่ายชาย</t>
        </is>
      </c>
      <c r="B10" s="4" t="inlineStr">
        <is>
          <t>เดือนที่ 3</t>
        </is>
      </c>
      <c r="C10" s="4" t="inlineStr">
        <is>
          <t>พร้อมไปด้วยกัน</t>
        </is>
      </c>
      <c r="D10" s="4" t="inlineStr">
        <is>
          <t>1) ตรวจวิเคราะห์น้ำเชื้อกับแพทย์ (ถ้าจะทำ ART)
2) ประสานจังหวะกับช่วงไข่ตกของคู่</t>
        </is>
      </c>
      <c r="E10" s="10" t="inlineStr"/>
      <c r="F10" s="10" t="inlineStr"/>
    </row>
    <row r="12">
      <c r="A12" s="5" t="inlineStr">
        <is>
          <t>ส่วนอื่นที่อยู่ในแผน</t>
        </is>
      </c>
    </row>
    <row r="13" ht="34" customHeight="1">
      <c r="A13" s="6" t="inlineStr">
        <is>
          <t>หัวข้อ</t>
        </is>
      </c>
      <c r="B13" s="6" t="inlineStr">
        <is>
          <t>เนื้อหา</t>
        </is>
      </c>
      <c r="C13" s="6" t="inlineStr">
        <is>
          <t>ที่มา</t>
        </is>
      </c>
      <c r="D13" s="6" t="inlineStr">
        <is>
          <t>✍️ ทีมยืนยัน</t>
        </is>
      </c>
      <c r="E13" s="6" t="inlineStr">
        <is>
          <t>✍️ ต้องแก้เป็น</t>
        </is>
      </c>
    </row>
    <row r="14">
      <c r="A14" s="4" t="inlineStr">
        <is>
          <t>คำแนะนำพบแพทย์ (ตามอายุ)</t>
        </is>
      </c>
      <c r="B14" s="4" t="inlineStr">
        <is>
          <t>อายุ 40+ → "แนะนำพบแพทย์ผู้เชี่ยวชาญด้านมีบุตรยากได้เลย ไม่ต้องรอให้ครบกำหนด"
อายุ 35–39 → "พยายามเอง 6 เดือนยังไม่สำเร็จ ควรปรึกษาแพทย์"
ต่ำกว่า 35 → "พยายามเอง 12 เดือนยังไม่สำเร็จ ควรปรึกษาแพทย์"</t>
        </is>
      </c>
      <c r="C14" s="4" t="inlineStr">
        <is>
          <t>แนวปฏิบัติสากลเรื่องภาวะมีบุตรยาก</t>
        </is>
      </c>
      <c r="D14" s="10" t="inlineStr"/>
      <c r="E14" s="10" t="inlineStr"/>
    </row>
    <row r="15">
      <c r="A15" s="4" t="inlineStr">
        <is>
          <t>สิ่งที่ทำได้วันนี้ (Quick win)</t>
        </is>
      </c>
      <c r="B15" s="4" t="inlineStr">
        <is>
          <t>มี PCOS → "วันนี้: งดของหวานทั้งหมด แล้วดื่มน้ำอุ่น 1 แก้วตอนตื่น"
ฝ่ายชาย → "วันนี้: เพิ่มไข่ต้ม 2 ฟอง + เมล็ดฟักทองหนึ่งกำมือ"
อื่น ๆ → "วันนี้: กินไข่ต้ม 2 ฟอง และเข้านอนก่อน 4 ทุ่ม"</t>
        </is>
      </c>
      <c r="C15" s="4" t="inlineStr">
        <is>
          <t>ทีมพัฒนากำหนด</t>
        </is>
      </c>
      <c r="D15" s="10" t="inlineStr"/>
      <c r="E15" s="10" t="inlineStr"/>
    </row>
    <row r="16">
      <c r="A16" s="4" t="inlineStr">
        <is>
          <t>ชวนคู่</t>
        </is>
      </c>
      <c r="B16" s="4" t="inlineStr">
        <is>
          <t>"ชวนคุณสามีเตรียมตัวไปด้วยกันนะคะ — สุขภาพฝ่ายชายมีผลต่อการเตรียมพร้อมมากกว่าที่คิด"</t>
        </is>
      </c>
      <c r="C16" s="4" t="inlineStr">
        <is>
          <t>ปัจจัยฝ่ายชาย ~40% ของภาวะมีบุตรยาก</t>
        </is>
      </c>
      <c r="D16" s="10" t="inlineStr"/>
      <c r="E16" s="10" t="inlineStr"/>
    </row>
    <row r="17">
      <c r="A17" s="4" t="inlineStr">
        <is>
          <t>คำเตือนที่ติดไปกับแผนเสมอ</t>
        </is>
      </c>
      <c r="B17" s="4" t="inlineStr">
        <is>
          <t>"แผนนี้เป็นคำแนะนำทั่วไปเพื่อเตรียมความพร้อม ไม่ใช่การวินิจฉัยหรือรักษาโรค และไม่รับประกันการตั้งครรภ์"
+ PCOS → เตือนว่านับวันไข่ตกอาจคลาดเคลื่อน
+ ART → "อย่าหยุดหรือปรับยา/วิตามินเองก่อนปรึกษาแพทย์"
+ อายุ 35+ → "เรื่องเวลาเป็นสิ่งสำคัญ แนะนำปรึกษาแพทย์ผู้เชี่ยวชาญควบคู่"</t>
        </is>
      </c>
      <c r="C17" s="4" t="inlineStr">
        <is>
          <t>legal-compliance.md (บังคับ)</t>
        </is>
      </c>
      <c r="D17" s="10" t="inlineStr"/>
      <c r="E17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74" customWidth="1" min="2" max="2"/>
    <col width="32" customWidth="1" min="3" max="3"/>
    <col width="44" customWidth="1" min="4" max="4"/>
    <col width="24" customWidth="1" min="5" max="5"/>
    <col width="22" customWidth="1" min="6" max="6"/>
    <col width="32" customWidth="1" min="7" max="7"/>
  </cols>
  <sheetData>
    <row r="1" ht="22" customHeight="1">
      <c r="A1" s="1" t="inlineStr">
        <is>
          <t>สูตรคำนวณทุกตัว + ที่มา</t>
        </is>
      </c>
    </row>
    <row r="2" ht="34" customHeight="1">
      <c r="A2" s="3" t="inlineStr">
        <is>
          <t>เครื่องมือ</t>
        </is>
      </c>
      <c r="B2" s="3" t="inlineStr">
        <is>
          <t>สูตร / กฎ</t>
        </is>
      </c>
      <c r="C2" s="3" t="inlineStr">
        <is>
          <t>หมายเหตุ</t>
        </is>
      </c>
      <c r="D2" s="3" t="inlineStr">
        <is>
          <t>ที่มา</t>
        </is>
      </c>
      <c r="E2" s="3" t="inlineStr">
        <is>
          <t>สถานะ</t>
        </is>
      </c>
      <c r="F2" s="3" t="inlineStr">
        <is>
          <t>✍️ ทีมยืนยัน</t>
        </is>
      </c>
      <c r="G2" s="3" t="inlineStr">
        <is>
          <t>✍️ ต้องแก้เป็น</t>
        </is>
      </c>
    </row>
    <row r="3">
      <c r="A3" s="4" t="inlineStr">
        <is>
          <t>นับวันไข่ตก</t>
        </is>
      </c>
      <c r="B3" s="4" t="inlineStr">
        <is>
          <t>วันไข่ตก = วันแรกของประจำเดือนถัดไป − 14 วัน</t>
        </is>
      </c>
      <c r="C3" s="4" t="inlineStr">
        <is>
          <t>ระยะ luteal ~14 วัน (ค่าคงที่)</t>
        </is>
      </c>
      <c r="D3" s="4" t="inlineStr">
        <is>
          <t>หลักการมาตรฐานสากล</t>
        </is>
      </c>
      <c r="E3" s="4" t="inlineStr">
        <is>
          <t>✅ อ้างอิงได้</t>
        </is>
      </c>
      <c r="F3" s="10" t="inlineStr"/>
      <c r="G3" s="10" t="inlineStr"/>
    </row>
    <row r="4">
      <c r="A4" s="4" t="inlineStr">
        <is>
          <t>นับวันไข่ตก</t>
        </is>
      </c>
      <c r="B4" s="4" t="inlineStr">
        <is>
          <t>ช่วงมีโอกาส = วันไข่ตก −5 ถึง +1 วัน</t>
        </is>
      </c>
      <c r="C4" s="4" t="inlineStr">
        <is>
          <t>รวม 7 วัน</t>
        </is>
      </c>
      <c r="D4" s="4" t="inlineStr">
        <is>
          <t>อายุอสุจิในระบบสืบพันธุ์ ~5 วัน</t>
        </is>
      </c>
      <c r="E4" s="4" t="inlineStr">
        <is>
          <t>✅ อ้างอิงได้</t>
        </is>
      </c>
      <c r="F4" s="10" t="inlineStr"/>
      <c r="G4" s="10" t="inlineStr"/>
    </row>
    <row r="5">
      <c r="A5" s="4" t="inlineStr">
        <is>
          <t>นับวันไข่ตก</t>
        </is>
      </c>
      <c r="B5" s="4" t="inlineStr">
        <is>
          <t>รับรอบเดือน 21–35 วันเท่านั้น · เกิน 32 วันขึ้นเตือน "รอบไม่สม่ำเสมอ"</t>
        </is>
      </c>
      <c r="C5" s="4" t="inlineStr">
        <is>
          <t>นอกช่วงนี้ปฏิเสธการคำนวณ</t>
        </is>
      </c>
      <c r="D5" s="4" t="inlineStr">
        <is>
          <t>ทีมพัฒนากำหนดเอง</t>
        </is>
      </c>
      <c r="E5" s="4" t="inlineStr">
        <is>
          <t>⚠️ ขอให้ตรวจ</t>
        </is>
      </c>
      <c r="F5" s="10" t="inlineStr"/>
      <c r="G5" s="10" t="inlineStr"/>
    </row>
    <row r="6">
      <c r="A6" s="4" t="inlineStr">
        <is>
          <t>นับวันไข่ตก</t>
        </is>
      </c>
      <c r="B6" s="4" t="inlineStr">
        <is>
          <t>ข้อความบังคับ: "ใช้คุมกำเนิดไม่ได้"</t>
        </is>
      </c>
      <c r="C6" s="4" t="inlineStr">
        <is>
          <t>—</t>
        </is>
      </c>
      <c r="D6" s="4" t="inlineStr">
        <is>
          <t>legal-compliance.md</t>
        </is>
      </c>
      <c r="E6" s="4" t="inlineStr">
        <is>
          <t>✅ บังคับ</t>
        </is>
      </c>
      <c r="F6" s="10" t="inlineStr"/>
      <c r="G6" s="10" t="inlineStr"/>
    </row>
    <row r="7">
      <c r="A7" s="4" t="inlineStr">
        <is>
          <t>โปรตีน</t>
        </is>
      </c>
      <c r="B7" s="4" t="inlineStr">
        <is>
          <t>เตรียมตั้งครรภ์ = 1.2–1.5 กรัม/น้ำหนักตัว 1 กก./วัน</t>
        </is>
      </c>
      <c r="C7" s="4" t="inlineStr">
        <is>
          <t>เช่น 55 กก. → 66–83 กรัม/วัน</t>
        </is>
      </c>
      <c r="D7" s="4" t="inlineStr">
        <is>
          <t>ช่วงล่างจากแนวปฏิบัติก่อนตั้งครรภ์ · ช่วงบน 1.5 จากสูตรครูก้อยเอง (Ferty)</t>
        </is>
      </c>
      <c r="E7" s="4" t="inlineStr">
        <is>
          <t>✅ ตัดสินใจร่วม 25 ก.ค.</t>
        </is>
      </c>
      <c r="F7" s="10" t="inlineStr"/>
      <c r="G7" s="10" t="inlineStr"/>
    </row>
    <row r="8">
      <c r="A8" s="4" t="inlineStr">
        <is>
          <t>โปรตีน</t>
        </is>
      </c>
      <c r="B8" s="4" t="inlineStr">
        <is>
          <t>ตั้งครรภ์ = 1.1–1.3 · ให้นม = 1.3 · ฝ่ายชาย = 1.2–1.6</t>
        </is>
      </c>
      <c r="C8" s="4" t="inlineStr">
        <is>
          <t>—</t>
        </is>
      </c>
      <c r="D8" s="4" t="inlineStr">
        <is>
          <t>แนวปฏิบัติโภชนาการทั่วไป (ไม่เฉพาะเจาะจงเรื่องเจริญพันธุ์)</t>
        </is>
      </c>
      <c r="E8" s="4" t="inlineStr">
        <is>
          <t>⚠️ ขอให้ตรวจ</t>
        </is>
      </c>
      <c r="F8" s="10" t="inlineStr"/>
      <c r="G8" s="10" t="inlineStr"/>
    </row>
    <row r="9">
      <c r="A9" s="4" t="inlineStr">
        <is>
          <t>โปรตีน</t>
        </is>
      </c>
      <c r="B9" s="4" t="inlineStr">
        <is>
          <t>แปลงเป็นจำนวนซอง Ferty: 1 ซอง = 25 กรัม · ไข่ 1 ฟอง = 6.5 กรัม</t>
        </is>
      </c>
      <c r="C9" s="4" t="inlineStr">
        <is>
          <t>—</t>
        </is>
      </c>
      <c r="D9" s="4" t="inlineStr">
        <is>
          <t>ฉลากสินค้า + ค่ามาตรฐานอาหาร</t>
        </is>
      </c>
      <c r="E9" s="4" t="inlineStr">
        <is>
          <t>✅ อ้างอิงได้</t>
        </is>
      </c>
      <c r="F9" s="10" t="inlineStr"/>
      <c r="G9" s="10" t="inlineStr"/>
    </row>
    <row r="10">
      <c r="A10" s="4" t="inlineStr">
        <is>
          <t>โปรตีน</t>
        </is>
      </c>
      <c r="B10" s="4" t="inlineStr">
        <is>
          <t>รับน้ำหนัก 30–150 กก. เท่านั้น</t>
        </is>
      </c>
      <c r="C10" s="4" t="inlineStr">
        <is>
          <t>นอกช่วงนี้ปฏิเสธ</t>
        </is>
      </c>
      <c r="D10" s="4" t="inlineStr">
        <is>
          <t>ทีมพัฒนากำหนดเอง</t>
        </is>
      </c>
      <c r="E10" s="4" t="inlineStr">
        <is>
          <t>⚠️ ขอให้ตรวจ</t>
        </is>
      </c>
      <c r="F10" s="10" t="inlineStr"/>
      <c r="G10" s="10" t="inlineStr"/>
    </row>
    <row r="11">
      <c r="A11" s="4" t="inlineStr">
        <is>
          <t>เช็กสารอาหาร</t>
        </is>
      </c>
      <c r="B11" s="4" t="inlineStr">
        <is>
          <t>รายการที่ควรกิน 8 อย่าง: ไข่ต้ม 2 ฟอง · ปลา 1 ตัว · อะโวคาโด+น้ำผึ้งชันโรง · ข้าวกล้อง 1 ถ้วยเล็ก · ผักสด 1 ถ้วย · น้ำเปล่าไม่เย็น 2–3 ลิตร · ผงผักเพียวเรด/กรีน · น้ำมะกรูด</t>
        </is>
      </c>
      <c r="C11" s="4" t="inlineStr">
        <is>
          <t>แบ่งเป็น 3 เสา: คุณภาพไข่ / มดลูก / ฮอร์โมน</t>
        </is>
      </c>
      <c r="D11" s="4" t="inlineStr">
        <is>
          <t>สูตรครูก้อย (nutrition-protocol.md)</t>
        </is>
      </c>
      <c r="E11" s="4" t="inlineStr">
        <is>
          <t>⚠️ ขอให้ตรวจว่าครบ/ถูก</t>
        </is>
      </c>
      <c r="F11" s="10" t="inlineStr"/>
      <c r="G11" s="10" t="inlineStr"/>
    </row>
    <row r="12">
      <c r="A12" s="4" t="inlineStr">
        <is>
          <t>เช็กสารอาหาร</t>
        </is>
      </c>
      <c r="B12" s="4" t="inlineStr">
        <is>
          <t>รายการที่ควรเลี่ยง 5 อย่าง: ของหวาน/น้ำตาล · น้ำเย็น · ชา-กาแฟ-คาเฟอีน · ไขมันทรานส์ · อาหารแปรรูป</t>
        </is>
      </c>
      <c r="C12" s="4" t="inlineStr">
        <is>
          <t>—</t>
        </is>
      </c>
      <c r="D12" s="4" t="inlineStr">
        <is>
          <t>สูตรครูก้อย</t>
        </is>
      </c>
      <c r="E12" s="4" t="inlineStr">
        <is>
          <t>⚠️ ขอให้ตรวจว่าครบ/ถูก</t>
        </is>
      </c>
      <c r="F12" s="10" t="inlineStr"/>
      <c r="G12" s="10" t="inlineStr"/>
    </row>
    <row r="13">
      <c r="A13" s="4" t="inlineStr">
        <is>
          <t>เช็กสารอาหาร</t>
        </is>
      </c>
      <c r="B13" s="4" t="inlineStr">
        <is>
          <t>คะแนน = (จำนวนที่กินได้ ÷ จำนวนทั้งหมดในเสานั้น) × 100</t>
        </is>
      </c>
      <c r="C13" s="4" t="inlineStr">
        <is>
          <t>คะแนนรวม = เฉลี่ยของ 3 เสา</t>
        </is>
      </c>
      <c r="D13" s="4" t="inlineStr">
        <is>
          <t>ทีมพัฒนากำหนดเอง</t>
        </is>
      </c>
      <c r="E13" s="4" t="inlineStr">
        <is>
          <t>⚠️ ขอให้ตรวจ</t>
        </is>
      </c>
      <c r="F13" s="10" t="inlineStr"/>
      <c r="G13" s="10" t="inlineStr"/>
    </row>
    <row r="14">
      <c r="A14" s="4" t="inlineStr">
        <is>
          <t>การนอน</t>
        </is>
      </c>
      <c r="B14" s="4" t="inlineStr">
        <is>
          <t>แนะนำเวลาเข้านอนจากเวลาตื่น: รอบละ 90 นาที × 5–6 รอบ + เผื่อหลับ 15 นาที</t>
        </is>
      </c>
      <c r="C14" s="4" t="inlineStr">
        <is>
          <t>รวมนอน 7.5–9 ชม.</t>
        </is>
      </c>
      <c r="D14" s="4" t="inlineStr">
        <is>
          <t>ทฤษฎีวงจรการนอน 90 นาที</t>
        </is>
      </c>
      <c r="E14" s="4" t="inlineStr">
        <is>
          <t>✅ อ้างอิงได้</t>
        </is>
      </c>
      <c r="F14" s="10" t="inlineStr"/>
      <c r="G14" s="10" t="inlineStr"/>
    </row>
    <row r="15">
      <c r="A15" s="4" t="inlineStr">
        <is>
          <t>การนอน</t>
        </is>
      </c>
      <c r="B15" s="4" t="inlineStr">
        <is>
          <t>เกณฑ์ "ดี" = เข้านอนก่อน 22:00 และนอน 7–9 ชม.</t>
        </is>
      </c>
      <c r="C15" s="4" t="inlineStr">
        <is>
          <t>—</t>
        </is>
      </c>
      <c r="D15" s="4" t="inlineStr">
        <is>
          <t>กฎครูก้อย "นอนก่อน 4 ทุ่ม"</t>
        </is>
      </c>
      <c r="E15" s="4" t="inlineStr">
        <is>
          <t>✅ ตามแบรนด์</t>
        </is>
      </c>
      <c r="F15" s="10" t="inlineStr"/>
      <c r="G15" s="10" t="inlineStr"/>
    </row>
    <row r="16">
      <c r="A16" s="4" t="inlineStr">
        <is>
          <t>คะแนนความพร้อม 0–100</t>
        </is>
      </c>
      <c r="B16" s="4" t="inlineStr">
        <is>
          <t>เฉลี่ยจากเสาที่ผู้ใช้ทำเครื่องมือแล้วเท่านั้น (คุณภาพไข่ / โภชนาการรวม / การนอน / สมดุลฮอร์โมน)</t>
        </is>
      </c>
      <c r="C16" s="4" t="inlineStr">
        <is>
          <t>ยังไม่ทำเครื่องมือเลย → ตั้งต้น 50</t>
        </is>
      </c>
      <c r="D16" s="4" t="inlineStr">
        <is>
          <t>🔴 ทีมพัฒนากำหนดเอง</t>
        </is>
      </c>
      <c r="E16" s="4" t="inlineStr">
        <is>
          <t>🔴 ยังไม่ผ่านเภสัชกร</t>
        </is>
      </c>
      <c r="F16" s="10" t="inlineStr"/>
      <c r="G16" s="10" t="inlineStr"/>
    </row>
    <row r="17">
      <c r="A17" s="4" t="inlineStr">
        <is>
          <t>คะแนนความพร้อม 0–100</t>
        </is>
      </c>
      <c r="B17" s="4" t="inlineStr">
        <is>
          <t>คะแนนการนอน: ก่อน 4 ทุ่ม + นอนพอ = 92 · นอนพออย่างเดียว = 72 · นอกนั้น = 48</t>
        </is>
      </c>
      <c r="C17" s="4" t="inlineStr">
        <is>
          <t>—</t>
        </is>
      </c>
      <c r="D17" s="4" t="inlineStr">
        <is>
          <t>🔴 ทีมพัฒนากำหนดเอง</t>
        </is>
      </c>
      <c r="E17" s="4" t="inlineStr">
        <is>
          <t>🔴 ยังไม่ผ่านเภสัชกร</t>
        </is>
      </c>
      <c r="F17" s="10" t="inlineStr"/>
      <c r="G17" s="10" t="inlineStr"/>
    </row>
    <row r="18">
      <c r="A18" s="4" t="inlineStr">
        <is>
          <t>คะแนนความพร้อม 0–100</t>
        </is>
      </c>
      <c r="B18" s="4" t="inlineStr">
        <is>
          <t>ถ้ามี PCOS หักคะแนนเสา "สมดุลฮอร์โมน" 10 คะแนน</t>
        </is>
      </c>
      <c r="C18" s="4" t="inlineStr">
        <is>
          <t>—</t>
        </is>
      </c>
      <c r="D18" s="4" t="inlineStr">
        <is>
          <t>🔴 ทีมพัฒนากำหนดเอง</t>
        </is>
      </c>
      <c r="E18" s="4" t="inlineStr">
        <is>
          <t>🔴 ยังไม่ผ่านเภสัชกร</t>
        </is>
      </c>
      <c r="F18" s="10" t="inlineStr"/>
      <c r="G18" s="10" t="inlineStr"/>
    </row>
    <row r="19">
      <c r="A19" s="4" t="inlineStr">
        <is>
          <t>คะแนนความพร้อม 0–100</t>
        </is>
      </c>
      <c r="B19" s="4" t="inlineStr">
        <is>
          <t>ป้ายกำกับ: ≥80 = "พร้อมดีมาก 💚" · ≥60 = "พร้อมพอควร มีจุดเสริม 💛" · ต่ำกว่านั้น = "เริ่มต้นได้ดี มีหลายอย่างที่ทำได้เลย 🌱"</t>
        </is>
      </c>
      <c r="C19" s="4" t="inlineStr">
        <is>
          <t>ไม่มีคำว่า "แย่/ไม่ผ่าน" เลย</t>
        </is>
      </c>
      <c r="D19" s="4" t="inlineStr">
        <is>
          <t>🔴 ทีมพัฒนากำหนดเอง (ตั้งใจให้ไม่ตัดสินคน)</t>
        </is>
      </c>
      <c r="E19" s="4" t="inlineStr">
        <is>
          <t>🔴 ยังไม่ผ่านเภสัชกร</t>
        </is>
      </c>
      <c r="F19" s="10" t="inlineStr"/>
      <c r="G19" s="10" t="inlineStr"/>
    </row>
    <row r="20">
      <c r="A20" s="4" t="inlineStr">
        <is>
          <t>คะแนนความพร้อม 0–100</t>
        </is>
      </c>
      <c r="B20" s="4" t="inlineStr">
        <is>
          <t>แสดง "จุดแข็ง" ก่อนคะแนนเสมอ · เรียกจุดอ่อนว่า "จุดที่เสริมได้" ไม่ใช่ "จุดที่พลาด"</t>
        </is>
      </c>
      <c r="C20" s="4" t="inlineStr">
        <is>
          <t>—</t>
        </is>
      </c>
      <c r="D20" s="4" t="inlineStr">
        <is>
          <t>งานวิจัยแรงจูงใจ (MOTIVATION-RESEARCH.md)</t>
        </is>
      </c>
      <c r="E20" s="4" t="inlineStr">
        <is>
          <t>✅ ตั้งใจออกแบบ</t>
        </is>
      </c>
      <c r="F20" s="10" t="inlineStr"/>
      <c r="G20" s="10" t="inlineStr"/>
    </row>
    <row r="22" ht="34" customHeight="1">
      <c r="A22" s="14" t="inlineStr">
        <is>
          <t>🔴 แถวสีแดง = เกณฑ์คะแนนที่ทีมพัฒนาตั้งขึ้นเองเพื่อให้ระบบทำงานได้ก่อน ยังไม่มีงานวิจัยหรือผู้เชี่ยวชาญรองรับ
ขอให้เภสัชกรหรือผู้เชี่ยวชาญของแบรนด์ตรวจก่อนใช้กับลูกค้าจริง หรือแจ้งว่าไม่ควรแสดงคะแนนเลยก็ได้</t>
        </is>
      </c>
    </row>
  </sheetData>
  <mergeCells count="1">
    <mergeCell ref="A22:G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52" customWidth="1" min="3" max="3"/>
    <col width="66" customWidth="1" min="4" max="4"/>
    <col width="26" customWidth="1" min="5" max="5"/>
    <col width="14" customWidth="1" min="6" max="6"/>
    <col width="46" customWidth="1" min="7" max="7"/>
  </cols>
  <sheetData>
    <row r="1" ht="22" customHeight="1">
      <c r="A1" s="1" t="inlineStr">
        <is>
          <t>คำถามที่รอคำตอบจากทีมครูก้อย</t>
        </is>
      </c>
    </row>
    <row r="2" ht="34" customHeight="1">
      <c r="A2" s="6" t="inlineStr">
        <is>
          <t>#</t>
        </is>
      </c>
      <c r="B2" s="6" t="inlineStr">
        <is>
          <t>คำถาม</t>
        </is>
      </c>
      <c r="C2" s="6" t="inlineStr">
        <is>
          <t>สถานการณ์ตอนนี้</t>
        </is>
      </c>
      <c r="D2" s="6" t="inlineStr">
        <is>
          <t>ระบบทำอะไรไปก่อน</t>
        </is>
      </c>
      <c r="E2" s="6" t="inlineStr">
        <is>
          <t>ระดับผลกระทบ</t>
        </is>
      </c>
      <c r="F2" s="6" t="inlineStr">
        <is>
          <t>สถานะ</t>
        </is>
      </c>
      <c r="G2" s="6" t="inlineStr">
        <is>
          <t>✍️ คำตอบจากทีม</t>
        </is>
      </c>
    </row>
    <row r="3">
      <c r="A3" s="4" t="n">
        <v>1</v>
      </c>
      <c r="B3" s="4" t="inlineStr">
        <is>
          <t>ราคา Phyto Crystal C</t>
        </is>
      </c>
      <c r="C3" s="4" t="inlineStr">
        <is>
          <t>ไม่มีราคาในเอกสารใดเลย</t>
        </is>
      </c>
      <c r="D3" s="4" t="inlineStr">
        <is>
          <t>แอปแสดง "สอบถามราคา" แทนราคาจริง (ไม่เดาตัวเลข)</t>
        </is>
      </c>
      <c r="E3" s="4" t="inlineStr">
        <is>
          <t>🔴 กระทบสิ่งที่ลูกค้าเห็น</t>
        </is>
      </c>
      <c r="F3" s="4" t="inlineStr">
        <is>
          <t>⏳ รอตอบ</t>
        </is>
      </c>
      <c r="G3" s="10" t="inlineStr"/>
    </row>
    <row r="4">
      <c r="A4" s="4" t="n">
        <v>2</v>
      </c>
      <c r="B4" s="4" t="inlineStr">
        <is>
          <t>วิธีรับประทาน Motila1</t>
        </is>
      </c>
      <c r="C4" s="4" t="inlineStr">
        <is>
          <t>เอกสารมีแค่ชื่อกับราคา</t>
        </is>
      </c>
      <c r="D4" s="4" t="inlineStr">
        <is>
          <t>ถอด Motila1 ออกจากคำแนะนำฝ่ายชายชั่วคราว ใช้ M-Z All แทน — ได้ข้อมูลเมื่อไหร่ใส่กลับได้ทันที</t>
        </is>
      </c>
      <c r="E4" s="4" t="inlineStr">
        <is>
          <t>🔴 สินค้าหายไป 1 ตัว</t>
        </is>
      </c>
      <c r="F4" s="4" t="inlineStr">
        <is>
          <t>⏳ รอตอบ</t>
        </is>
      </c>
      <c r="G4" s="10" t="inlineStr"/>
    </row>
    <row r="5">
      <c r="A5" s="4" t="n">
        <v>3</v>
      </c>
      <c r="B5" s="4" t="inlineStr">
        <is>
          <t>วิธีรับประทาน PCO-VIT แบบละเอียด</t>
        </is>
      </c>
      <c r="C5" s="4" t="inlineStr">
        <is>
          <t>เอกสารระบุแค่ "ทานคู่กับการดูแลเรื่องน้ำตาล" ไม่บอกจำนวนเม็ด/เวลา</t>
        </is>
      </c>
      <c r="D5" s="4" t="inlineStr">
        <is>
          <t>แสดงข้อความเท่าที่มี</t>
        </is>
      </c>
      <c r="E5" s="4" t="inlineStr">
        <is>
          <t>🟡 ข้อมูลไม่ครบ</t>
        </is>
      </c>
      <c r="F5" s="4" t="inlineStr">
        <is>
          <t>⏳ รอตอบ</t>
        </is>
      </c>
      <c r="G5" s="10" t="inlineStr"/>
    </row>
    <row r="6">
      <c r="A6" s="4" t="n">
        <v>4</v>
      </c>
      <c r="B6" s="4" t="inlineStr">
        <is>
          <t>มี leaflet ชุดฝ่ายชาย / ชุดตั้งครรภ์ / ชุดให้นม ไหม</t>
        </is>
      </c>
      <c r="C6" s="4" t="inlineStr">
        <is>
          <t>ตอนนี้มีแค่ leaflet "ชุดเตรียมตั้งครรภ์หญิง" (19 รายการ)</t>
        </is>
      </c>
      <c r="D6" s="4" t="inlineStr">
        <is>
          <t>ฝ่ายชายมีแค่ 3 ตัว · ช่วงตั้งครรภ์/ให้นมใช้ชุดหญิงกรองด้วย Safety Matrix</t>
        </is>
      </c>
      <c r="E6" s="4" t="inlineStr">
        <is>
          <t>🟡 อาจแนะนำได้ครบกว่านี้</t>
        </is>
      </c>
      <c r="F6" s="4" t="inlineStr">
        <is>
          <t>⏳ รอตอบ</t>
        </is>
      </c>
      <c r="G6" s="10" t="inlineStr"/>
    </row>
    <row r="7">
      <c r="A7" s="4" t="n">
        <v>5</v>
      </c>
      <c r="B7" s="4" t="inlineStr">
        <is>
          <t>เลข ฆอ. ของ M-Z All</t>
        </is>
      </c>
      <c r="C7" s="4" t="inlineStr">
        <is>
          <t>เอกสารการตลาดเคลม "กันมะเร็งต่อมลูกหมาก / หย่อนสมรรถภาพ / ไม่มีผลข้างเคียง"</t>
        </is>
      </c>
      <c r="D7" s="4" t="inlineStr">
        <is>
          <t>🚫 ระบบบล็อกข้อความเหล่านี้ไว้ (เคลมป้องกันโรค ผิดกฎโฆษณาอาหาร) ใช้ข้อความกลางแทน</t>
        </is>
      </c>
      <c r="E7" s="4" t="inlineStr">
        <is>
          <t>🔴 ข้อกฎหมาย</t>
        </is>
      </c>
      <c r="F7" s="4" t="inlineStr">
        <is>
          <t>⏳ รอตอบ</t>
        </is>
      </c>
      <c r="G7" s="10" t="inlineStr"/>
    </row>
    <row r="8">
      <c r="A8" s="4" t="n">
        <v>6</v>
      </c>
      <c r="B8" s="4" t="inlineStr">
        <is>
          <t>ใครตรวจเกณฑ์คะแนนความพร้อม 0–100</t>
        </is>
      </c>
      <c r="C8" s="4" t="inlineStr">
        <is>
          <t>เกณฑ์ทั้งหมดทีมพัฒนาตั้งเอง</t>
        </is>
      </c>
      <c r="D8" s="4" t="inlineStr">
        <is>
          <t>แสดงคะแนนอยู่ พร้อมคำเตือนว่าไม่ใช่การวินิจฉัย</t>
        </is>
      </c>
      <c r="E8" s="4" t="inlineStr">
        <is>
          <t>🔴 ควรมีผู้เชี่ยวชาญรับรอง</t>
        </is>
      </c>
      <c r="F8" s="4" t="inlineStr">
        <is>
          <t>⏳ รอตอบ</t>
        </is>
      </c>
      <c r="G8" s="10" t="inlineStr"/>
    </row>
    <row r="9">
      <c r="A9" s="4" t="n">
        <v>7</v>
      </c>
      <c r="B9" s="4" t="inlineStr">
        <is>
          <t>สถานะ อย. / ฆอ. ของสินค้าทุกตัว</t>
        </is>
      </c>
      <c r="C9" s="4" t="inlineStr">
        <is>
          <t>ยังไม่มีข้อมูล</t>
        </is>
      </c>
      <c r="D9" s="4" t="inlineStr">
        <is>
          <t>ยังไม่แสดงเลข อย. ในแอป</t>
        </is>
      </c>
      <c r="E9" s="4" t="inlineStr">
        <is>
          <t>🟡 ต้องมีก่อนทำโฆษณา</t>
        </is>
      </c>
      <c r="F9" s="4" t="inlineStr">
        <is>
          <t>⏳ รอตอบ</t>
        </is>
      </c>
      <c r="G9" s="10" t="inlineStr"/>
    </row>
    <row r="10">
      <c r="A10" s="4" t="n">
        <v>8</v>
      </c>
      <c r="B10" s="4" t="inlineStr">
        <is>
          <t>ราคาปัจจุบันทั้งหมด</t>
        </is>
      </c>
      <c r="C10" s="4" t="inlineStr">
        <is>
          <t>ราคาดึงจากเว็บ อาจไม่อัปเดต</t>
        </is>
      </c>
      <c r="D10" s="4" t="inlineStr">
        <is>
          <t>แสดงราคาตามเอกสารที่ได้รับ</t>
        </is>
      </c>
      <c r="E10" s="4" t="inlineStr">
        <is>
          <t>🟡 อาจคลาดเคลื่อน</t>
        </is>
      </c>
      <c r="F10" s="4" t="inlineStr">
        <is>
          <t>⏳ รอตอบ</t>
        </is>
      </c>
      <c r="G10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2026-07-27T03:44:11Z</dcterms:created>
  <dcterms:modified xmlns:dcterms="http://purl.org/dc/terms/" xmlns:xsi="http://www.w3.org/2001/XMLSchema-instance" xsi:type="dcterms:W3CDTF">2026-07-27T03:45:56Z</dcterms:modified>
</cp:coreProperties>
</file>